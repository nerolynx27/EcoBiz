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b6e40e7bd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lan" sheetId="1" r:id="R68e7a0e50f09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"/>
    <x:numFmt numFmtId="201" formatCode="d"/>
    <x:numFmt numFmtId="202" formatCode=";;;"/>
    <x:numFmt numFmtId="203" formatCode="General"/>
  </x:numFmts>
  <x:fonts count="6">
    <x:font>
      <x:sz val="11"/>
      <x:name val="Carlito"/>
    </x:font>
    <x:font>
      <x:sz val="10"/>
      <x:color rgb="FF243247"/>
      <x:name val="Arial"/>
    </x:font>
    <x:font>
      <x:b/>
      <x:sz val="18"/>
      <x:color rgb="FF173E35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9"/>
      <x:color rgb="FF243247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E8F2EC"/>
      </x:patternFill>
    </x:fill>
    <x:fill>
      <x:patternFill patternType="solid">
        <x:fgColor rgb="FF173E35"/>
      </x:patternFill>
    </x:fill>
    <x:fill>
      <x:patternFill patternType="solid">
        <x:fgColor rgb="FFF2F5F4"/>
      </x:patternFill>
    </x:fill>
    <x:fill>
      <x:patternFill patternType="solid">
        <x:fgColor rgb="FF64748B"/>
      </x:patternFill>
    </x:fill>
    <x:fill>
      <x:patternFill patternType="solid">
        <x:fgColor rgb="FF377BB5"/>
      </x:patternFill>
    </x:fill>
    <x:fill>
      <x:patternFill patternType="solid">
        <x:fgColor rgb="FFA569A8"/>
      </x:patternFill>
    </x:fill>
    <x:fill>
      <x:patternFill patternType="solid">
        <x:fgColor rgb="FFB88728"/>
      </x:patternFill>
    </x:fill>
    <x:fill>
      <x:patternFill patternType="solid">
        <x:fgColor rgb="FF7358B1"/>
      </x:patternFill>
    </x:fill>
    <x:fill>
      <x:patternFill patternType="solid">
        <x:fgColor rgb="FF318266"/>
      </x:patternFill>
    </x:fill>
    <x:fill>
      <x:patternFill patternType="solid">
        <x:fgColor rgb="FF408D99"/>
      </x:patternFill>
    </x:fill>
    <x:fill>
      <x:patternFill patternType="solid">
        <x:fgColor rgb="FFC34A53"/>
      </x:patternFill>
    </x:fill>
    <x:fill>
      <x:patternFill patternType="solid">
        <x:fgColor rgb="FFDB8942"/>
      </x:patternFill>
    </x:fill>
    <x:fill>
      <x:patternFill patternType="solid">
        <x:fgColor rgb="FFDBE9E1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3">
    <x:dxf>
      <x:font>
        <x:color rgb="FFFFFFFF"/>
      </x:font>
      <x:fill>
        <x:patternFill patternType="solid">
          <x:bgColor rgb="FF64748B"/>
        </x:patternFill>
      </x:fill>
    </x:dxf>
    <x:dxf>
      <x:font>
        <x:color rgb="FFFFFFFF"/>
      </x:font>
      <x:fill>
        <x:patternFill patternType="solid">
          <x:bgColor rgb="FF377BB5"/>
        </x:patternFill>
      </x:fill>
    </x:dxf>
    <x:dxf>
      <x:font>
        <x:color rgb="FFFFFFFF"/>
      </x:font>
      <x:fill>
        <x:patternFill patternType="solid">
          <x:bgColor rgb="FF377BB5"/>
        </x:patternFill>
      </x:fill>
    </x:dxf>
    <x:dxf>
      <x:font>
        <x:color rgb="FFFFFFFF"/>
      </x:font>
      <x:fill>
        <x:patternFill patternType="solid">
          <x:bgColor rgb="FF64748B"/>
        </x:patternFill>
      </x:fill>
    </x:dxf>
    <x:dxf>
      <x:font>
        <x:color rgb="FFFFFFFF"/>
      </x:font>
      <x:fill>
        <x:patternFill patternType="solid">
          <x:bgColor rgb="FFA569A8"/>
        </x:patternFill>
      </x:fill>
    </x:dxf>
    <x:dxf>
      <x:font>
        <x:color rgb="FFFFFFFF"/>
      </x:font>
      <x:fill>
        <x:patternFill patternType="solid">
          <x:bgColor rgb="FFB88728"/>
        </x:patternFill>
      </x:fill>
    </x:dxf>
    <x:dxf>
      <x:font>
        <x:color rgb="FFFFFFFF"/>
      </x:font>
      <x:fill>
        <x:patternFill patternType="solid">
          <x:bgColor rgb="FF7358B1"/>
        </x:patternFill>
      </x:fill>
    </x:dxf>
    <x:dxf>
      <x:font>
        <x:color rgb="FFFFFFFF"/>
      </x:font>
      <x:fill>
        <x:patternFill patternType="solid">
          <x:bgColor rgb="FF318266"/>
        </x:patternFill>
      </x:fill>
    </x:dxf>
    <x:dxf>
      <x:font>
        <x:color rgb="FFFFFFFF"/>
      </x:font>
      <x:fill>
        <x:patternFill patternType="solid">
          <x:bgColor rgb="FF318266"/>
        </x:patternFill>
      </x:fill>
    </x:dxf>
    <x:dxf>
      <x:font>
        <x:color rgb="FFFFFFFF"/>
      </x:font>
      <x:fill>
        <x:patternFill patternType="solid">
          <x:bgColor rgb="FF318266"/>
        </x:patternFill>
      </x:fill>
    </x:dxf>
    <x:dxf>
      <x:font>
        <x:color rgb="FFFFFFFF"/>
      </x:font>
      <x:fill>
        <x:patternFill patternType="solid">
          <x:bgColor rgb="FFB88728"/>
        </x:patternFill>
      </x:fill>
    </x:dxf>
    <x:dxf>
      <x:font>
        <x:color rgb="FFFFFFFF"/>
      </x:font>
      <x:fill>
        <x:patternFill patternType="solid">
          <x:bgColor rgb="FFA569A8"/>
        </x:patternFill>
      </x:fill>
    </x:dxf>
    <x:dxf>
      <x:font>
        <x:color rgb="FFFFFFFF"/>
      </x:font>
      <x:fill>
        <x:patternFill patternType="solid">
          <x:bgColor rgb="FF377BB5"/>
        </x:patternFill>
      </x:fill>
    </x:dxf>
    <x:dxf>
      <x:font>
        <x:color rgb="FFFFFFFF"/>
      </x:font>
      <x:fill>
        <x:patternFill patternType="solid">
          <x:bgColor rgb="FF408D99"/>
        </x:patternFill>
      </x:fill>
    </x:dxf>
    <x:dxf>
      <x:font>
        <x:color rgb="FFFFFFFF"/>
      </x:font>
      <x:fill>
        <x:patternFill patternType="solid">
          <x:bgColor rgb="FFC34A53"/>
        </x:patternFill>
      </x:fill>
    </x:dxf>
    <x:dxf>
      <x:font>
        <x:color rgb="FFFFFFFF"/>
      </x:font>
      <x:fill>
        <x:patternFill patternType="solid">
          <x:bgColor rgb="FFDB8942"/>
        </x:patternFill>
      </x:fill>
    </x:dxf>
    <x:dxf>
      <x:font>
        <x:color rgb="FFFFFFFF"/>
      </x:font>
      <x:fill>
        <x:patternFill patternType="solid">
          <x:bgColor rgb="FFC34A53"/>
        </x:patternFill>
      </x:fill>
    </x:dxf>
    <x:dxf>
      <x:font>
        <x:color rgb="FFFFFFFF"/>
      </x:font>
      <x:fill>
        <x:patternFill patternType="solid">
          <x:bgColor rgb="FF318266"/>
        </x:patternFill>
      </x:fill>
    </x:dxf>
    <x:dxf>
      <x:font>
        <x:color rgb="FFFFFFFF"/>
      </x:font>
      <x:fill>
        <x:patternFill patternType="solid">
          <x:bgColor rgb="FF408D99"/>
        </x:patternFill>
      </x:fill>
    </x:dxf>
    <x:dxf>
      <x:font>
        <x:color rgb="FFFFFFFF"/>
      </x:font>
      <x:fill>
        <x:patternFill patternType="solid">
          <x:bgColor rgb="FFC34A53"/>
        </x:patternFill>
      </x:fill>
    </x:dxf>
    <x:dxf>
      <x:font>
        <x:color rgb="FFFFFFFF"/>
      </x:font>
      <x:fill>
        <x:patternFill patternType="solid">
          <x:bgColor rgb="FF408D99"/>
        </x:patternFill>
      </x:fill>
    </x:dxf>
    <x:dxf>
      <x:font>
        <x:color rgb="FFFFFFFF"/>
      </x:font>
      <x:fill>
        <x:patternFill patternType="solid">
          <x:bgColor rgb="FFDB8942"/>
        </x:patternFill>
      </x:fill>
    </x:dxf>
    <x:dxf>
      <x:font>
        <x:color rgb="FFFFFFFF"/>
      </x:font>
      <x:fill>
        <x:patternFill patternType="solid">
          <x:bgColor rgb="FFC34A5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91cda031a4740" /><Relationship Type="http://schemas.openxmlformats.org/officeDocument/2006/relationships/theme" Target="/xl/theme/theme1.xml" Id="Rf19589c483e0462d" /><Relationship Type="http://schemas.openxmlformats.org/officeDocument/2006/relationships/sharedStrings" Target="/xl/sharedStrings.xml" Id="Ra8e8c5fe64b74638" /><Relationship Type="http://schemas.openxmlformats.org/officeDocument/2006/relationships/worksheet" Target="/xl/worksheets/sheet1.xml" Id="R68e7a0e50f09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44" hidden="0" customWidth="1"/>
    <x:col min="3" max="3" width="22" hidden="0" customWidth="1"/>
    <x:col min="4" max="4" width="8" hidden="0" customWidth="1"/>
    <x:col min="5" max="5" width="49" hidden="0" customWidth="1"/>
    <x:col min="6" max="6" width="12" hidden="0" customWidth="1"/>
    <x:col min="7" max="7" width="12" hidden="0" customWidth="1"/>
    <x:col min="8" max="8" width="3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30" customHeight="1">
      <x:c r="A2" s="4" t="str">
        <x:v>EcoBiz Competition Project Plan</x:v>
      </x:c>
      <x:c r="B2" s="3" t="str">
        <x:v>EcoBiz Competition Project Plan</x:v>
      </x:c>
      <x:c r="C2" s="3" t="str">
        <x:v>EcoBiz Competition Project Plan</x:v>
      </x:c>
      <x:c r="D2" s="3" t="str">
        <x:v>EcoBiz Competition Project Plan</x:v>
      </x:c>
      <x:c r="E2" s="3" t="str">
        <x:v>EcoBiz Competition Project Plan</x:v>
      </x:c>
      <x:c r="F2" s="3" t="str">
        <x:v>EcoBiz Competition Project Plan</x:v>
      </x:c>
      <x:c r="G2" s="3" t="str">
        <x:v>EcoBiz Competition Project Plan</x:v>
      </x:c>
      <x:c r="H2" s="3" t="str">
        <x:v>EcoBiz Competition Project Plan</x:v>
      </x:c>
      <x:c r="I2" s="3" t="str">
        <x:v>EcoBiz Competition Project Plan</x:v>
      </x:c>
      <x:c r="J2" s="3" t="str">
        <x:v>EcoBiz Competition Project Plan</x:v>
      </x:c>
      <x:c r="K2" s="3" t="str">
        <x:v>EcoBiz Competition Project Plan</x:v>
      </x:c>
      <x:c r="L2" s="3" t="str">
        <x:v>EcoBiz Competition Project Plan</x:v>
      </x:c>
      <x:c r="M2" s="3" t="str">
        <x:v>EcoBiz Competition Project Plan</x:v>
      </x:c>
      <x:c r="N2" s="3" t="str">
        <x:v>EcoBiz Competition Project Plan</x:v>
      </x:c>
      <x:c r="O2" s="3" t="str">
        <x:v>EcoBiz Competition Project Plan</x:v>
      </x:c>
      <x:c r="P2" s="3" t="str">
        <x:v>EcoBiz Competition Project Plan</x:v>
      </x:c>
      <x:c r="Q2" s="3" t="str">
        <x:v>EcoBiz Competition Project Plan</x:v>
      </x:c>
      <x:c r="R2" s="3" t="str">
        <x:v>EcoBiz Competition Project Plan</x:v>
      </x:c>
      <x:c r="S2" s="3" t="str">
        <x:v>EcoBiz Competition Project Plan</x:v>
      </x:c>
      <x:c r="T2" s="3" t="str">
        <x:v>EcoBiz Competition Project Plan</x:v>
      </x:c>
      <x:c r="U2" s="3" t="str">
        <x:v>EcoBiz Competition Project Plan</x:v>
      </x:c>
      <x:c r="V2" s="3" t="str">
        <x:v>EcoBiz Competition Project Plan</x:v>
      </x:c>
      <x:c r="W2" s="3" t="str">
        <x:v>EcoBiz Competition Project Plan</x:v>
      </x:c>
      <x:c r="X2" s="3" t="str">
        <x:v>EcoBiz Competition Project Plan</x:v>
      </x:c>
      <x:c r="Y2" s="3" t="str">
        <x:v>EcoBiz Competition Project Plan</x:v>
      </x:c>
      <x:c r="Z2" s="3" t="str">
        <x:v>EcoBiz Competition Project Plan</x:v>
      </x:c>
      <x:c r="AA2" s="3" t="str">
        <x:v>EcoBiz Competition Project Plan</x:v>
      </x:c>
      <x:c r="AB2" s="3" t="str">
        <x:v>EcoBiz Competition Project Plan</x:v>
      </x:c>
      <x:c r="AC2" s="3" t="str">
        <x:v>EcoBiz Competition Project Plan</x:v>
      </x:c>
      <x:c r="AD2" s="3" t="str">
        <x:v>EcoBiz Competition Project Plan</x:v>
      </x:c>
      <x:c r="AE2" s="3" t="str">
        <x:v>EcoBiz Competition Project Plan</x:v>
      </x:c>
      <x:c r="AF2" s="3" t="str">
        <x:v>EcoBiz Competition Project Plan</x:v>
      </x:c>
      <x:c r="AG2" s="3" t="str">
        <x:v>EcoBiz Competition Project Plan</x:v>
      </x:c>
      <x:c r="AH2" s="3" t="str">
        <x:v>EcoBiz Competition Project Plan</x:v>
      </x:c>
      <x:c r="AI2" s="3" t="str">
        <x:v>EcoBiz Competition Project Plan</x:v>
      </x:c>
    </x:row>
    <x:row r="3">
      <x:c r="A3" s="3" t="str">
        <x:v>UNITEN • 28 September–30 October 2026 • Proposed work schedule based on the approved business model</x:v>
      </x:c>
      <x:c r="B3" s="3" t="str">
        <x:v>UNITEN • 28 September–30 October 2026 • Proposed work schedule based on the approved business model</x:v>
      </x:c>
      <x:c r="C3" s="3" t="str">
        <x:v>UNITEN • 28 September–30 October 2026 • Proposed work schedule based on the approved business model</x:v>
      </x:c>
      <x:c r="D3" s="3" t="str">
        <x:v>UNITEN • 28 September–30 October 2026 • Proposed work schedule based on the approved business model</x:v>
      </x:c>
      <x:c r="E3" s="3" t="str">
        <x:v>UNITEN • 28 September–30 October 2026 • Proposed work schedule based on the approved business model</x:v>
      </x:c>
      <x:c r="F3" s="3" t="str">
        <x:v>UNITEN • 28 September–30 October 2026 • Proposed work schedule based on the approved business model</x:v>
      </x:c>
      <x:c r="G3" s="3" t="str">
        <x:v>UNITEN • 28 September–30 October 2026 • Proposed work schedule based on the approved business model</x:v>
      </x:c>
      <x:c r="H3" s="3" t="str">
        <x:v>UNITEN • 28 September–30 October 2026 • Proposed work schedule based on the approved business model</x:v>
      </x:c>
      <x:c r="I3" s="3" t="str">
        <x:v>UNITEN • 28 September–30 October 2026 • Proposed work schedule based on the approved business model</x:v>
      </x:c>
      <x:c r="J3" s="3" t="str">
        <x:v>UNITEN • 28 September–30 October 2026 • Proposed work schedule based on the approved business model</x:v>
      </x:c>
      <x:c r="K3" s="3" t="str">
        <x:v>UNITEN • 28 September–30 October 2026 • Proposed work schedule based on the approved business model</x:v>
      </x:c>
      <x:c r="L3" s="3" t="str">
        <x:v>UNITEN • 28 September–30 October 2026 • Proposed work schedule based on the approved business model</x:v>
      </x:c>
      <x:c r="M3" s="3" t="str">
        <x:v>UNITEN • 28 September–30 October 2026 • Proposed work schedule based on the approved business model</x:v>
      </x:c>
      <x:c r="N3" s="3" t="str">
        <x:v>UNITEN • 28 September–30 October 2026 • Proposed work schedule based on the approved business model</x:v>
      </x:c>
      <x:c r="O3" s="3" t="str">
        <x:v>UNITEN • 28 September–30 October 2026 • Proposed work schedule based on the approved business model</x:v>
      </x:c>
      <x:c r="P3" s="3" t="str">
        <x:v>UNITEN • 28 September–30 October 2026 • Proposed work schedule based on the approved business model</x:v>
      </x:c>
      <x:c r="Q3" s="3" t="str">
        <x:v>UNITEN • 28 September–30 October 2026 • Proposed work schedule based on the approved business model</x:v>
      </x:c>
      <x:c r="R3" s="3" t="str">
        <x:v>UNITEN • 28 September–30 October 2026 • Proposed work schedule based on the approved business model</x:v>
      </x:c>
      <x:c r="S3" s="3" t="str">
        <x:v>UNITEN • 28 September–30 October 2026 • Proposed work schedule based on the approved business model</x:v>
      </x:c>
      <x:c r="T3" s="3" t="str">
        <x:v>UNITEN • 28 September–30 October 2026 • Proposed work schedule based on the approved business model</x:v>
      </x:c>
      <x:c r="U3" s="3" t="str">
        <x:v>UNITEN • 28 September–30 October 2026 • Proposed work schedule based on the approved business model</x:v>
      </x:c>
      <x:c r="V3" s="3" t="str">
        <x:v>UNITEN • 28 September–30 October 2026 • Proposed work schedule based on the approved business model</x:v>
      </x:c>
      <x:c r="W3" s="3" t="str">
        <x:v>UNITEN • 28 September–30 October 2026 • Proposed work schedule based on the approved business model</x:v>
      </x:c>
      <x:c r="X3" s="3" t="str">
        <x:v>UNITEN • 28 September–30 October 2026 • Proposed work schedule based on the approved business model</x:v>
      </x:c>
      <x:c r="Y3" s="3" t="str">
        <x:v>UNITEN • 28 September–30 October 2026 • Proposed work schedule based on the approved business model</x:v>
      </x:c>
      <x:c r="Z3" s="3" t="str">
        <x:v>UNITEN • 28 September–30 October 2026 • Proposed work schedule based on the approved business model</x:v>
      </x:c>
      <x:c r="AA3" s="3" t="str">
        <x:v>UNITEN • 28 September–30 October 2026 • Proposed work schedule based on the approved business model</x:v>
      </x:c>
      <x:c r="AB3" s="3" t="str">
        <x:v>UNITEN • 28 September–30 October 2026 • Proposed work schedule based on the approved business model</x:v>
      </x:c>
      <x:c r="AC3" s="3" t="str">
        <x:v>UNITEN • 28 September–30 October 2026 • Proposed work schedule based on the approved business model</x:v>
      </x:c>
      <x:c r="AD3" s="3" t="str">
        <x:v>UNITEN • 28 September–30 October 2026 • Proposed work schedule based on the approved business model</x:v>
      </x:c>
      <x:c r="AE3" s="3" t="str">
        <x:v>UNITEN • 28 September–30 October 2026 • Proposed work schedule based on the approved business model</x:v>
      </x:c>
      <x:c r="AF3" s="3" t="str">
        <x:v>UNITEN • 28 September–30 October 2026 • Proposed work schedule based on the approved business model</x:v>
      </x:c>
      <x:c r="AG3" s="3" t="str">
        <x:v>UNITEN • 28 September–30 October 2026 • Proposed work schedule based on the approved business model</x:v>
      </x:c>
      <x:c r="AH3" s="3" t="str">
        <x:v>UNITEN • 28 September–30 October 2026 • Proposed work schedule based on the approved business model</x:v>
      </x:c>
      <x:c r="AI3" s="3" t="str">
        <x:v>UNITEN • 28 September–30 October 2026 • Proposed work schedule based on the approved business model</x:v>
      </x:c>
    </x:row>
    <x:row r="4" ht="25" customHeight="1">
      <x:c r="A4" s="5" t="str">
        <x:v>PROJECT
Surplus meal pilot and packaged fertilizer experiment</x:v>
      </x:c>
      <x:c r="B4" s="5" t="str">
        <x:v>PROJECT
Surplus meal pilot and packaged fertilizer experiment</x:v>
      </x:c>
      <x:c r="C4" s="5" t="str">
        <x:v>PROJECT
Surplus meal pilot and packaged fertilizer experiment</x:v>
      </x:c>
      <x:c r="D4" s="5" t="str">
        <x:v>PROJECT
Surplus meal pilot and packaged fertilizer experiment</x:v>
      </x:c>
      <x:c r="E4" s="5" t="str">
        <x:v>PROJECT
Surplus meal pilot and packaged fertilizer experiment</x:v>
      </x:c>
      <x:c r="F4" s="5" t="str">
        <x:v>PROJECT
Surplus meal pilot and packaged fertilizer experiment</x:v>
      </x:c>
      <x:c r="G4" s="5" t="str">
        <x:v>PROJECT
Surplus meal pilot and packaged fertilizer experiment</x:v>
      </x:c>
      <x:c r="H4" s="5" t="str">
        <x:v>PROJECT
Surplus meal pilot and packaged fertilizer experiment</x:v>
      </x:c>
      <x:c r="I4" s="5" t="str">
        <x:v>KEY DATES
9 Oct registration | 18 Oct readiness | 23 Oct submission | 30 Oct final</x:v>
      </x:c>
      <x:c r="J4" s="5" t="str">
        <x:v>KEY DATES
9 Oct registration | 18 Oct readiness | 23 Oct submission | 30 Oct final</x:v>
      </x:c>
      <x:c r="K4" s="5" t="str">
        <x:v>KEY DATES
9 Oct registration | 18 Oct readiness | 23 Oct submission | 30 Oct final</x:v>
      </x:c>
      <x:c r="L4" s="5" t="str">
        <x:v>KEY DATES
9 Oct registration | 18 Oct readiness | 23 Oct submission | 30 Oct final</x:v>
      </x:c>
      <x:c r="M4" s="5" t="str">
        <x:v>KEY DATES
9 Oct registration | 18 Oct readiness | 23 Oct submission | 30 Oct final</x:v>
      </x:c>
      <x:c r="N4" s="5" t="str">
        <x:v>KEY DATES
9 Oct registration | 18 Oct readiness | 23 Oct submission | 30 Oct final</x:v>
      </x:c>
      <x:c r="O4" s="5" t="str">
        <x:v>KEY DATES
9 Oct registration | 18 Oct readiness | 23 Oct submission | 30 Oct final</x:v>
      </x:c>
      <x:c r="P4" s="5" t="str">
        <x:v>KEY DATES
9 Oct registration | 18 Oct readiness | 23 Oct submission | 30 Oct final</x:v>
      </x:c>
      <x:c r="Q4" s="5" t="str">
        <x:v>KEY DATES
9 Oct registration | 18 Oct readiness | 23 Oct submission | 30 Oct final</x:v>
      </x:c>
      <x:c r="R4" s="5" t="str">
        <x:v>KEY DATES
9 Oct registration | 18 Oct readiness | 23 Oct submission | 30 Oct final</x:v>
      </x:c>
      <x:c r="S4" s="5" t="str">
        <x:v>KEY DATES
9 Oct registration | 18 Oct readiness | 23 Oct submission | 30 Oct final</x:v>
      </x:c>
      <x:c r="T4" s="5" t="str">
        <x:v>KEY DATES
9 Oct registration | 18 Oct readiness | 23 Oct submission | 30 Oct final</x:v>
      </x:c>
      <x:c r="U4" s="5" t="str">
        <x:v>TEAM
Muaz • Iskandar • Haziq • Faiz</x:v>
      </x:c>
      <x:c r="V4" s="5" t="str">
        <x:v>TEAM
Muaz • Iskandar • Haziq • Faiz</x:v>
      </x:c>
      <x:c r="W4" s="5" t="str">
        <x:v>TEAM
Muaz • Iskandar • Haziq • Faiz</x:v>
      </x:c>
      <x:c r="X4" s="5" t="str">
        <x:v>TEAM
Muaz • Iskandar • Haziq • Faiz</x:v>
      </x:c>
      <x:c r="Y4" s="5" t="str">
        <x:v>TEAM
Muaz • Iskandar • Haziq • Faiz</x:v>
      </x:c>
      <x:c r="Z4" s="5" t="str">
        <x:v>TEAM
Muaz • Iskandar • Haziq • Faiz</x:v>
      </x:c>
      <x:c r="AA4" s="5" t="str">
        <x:v>TEAM
Muaz • Iskandar • Haziq • Faiz</x:v>
      </x:c>
      <x:c r="AB4" s="5" t="str">
        <x:v>TEAM
Muaz • Iskandar • Haziq • Faiz</x:v>
      </x:c>
      <x:c r="AC4" s="5" t="str">
        <x:v>TEAM
Muaz • Iskandar • Haziq • Faiz</x:v>
      </x:c>
      <x:c r="AD4" s="5" t="str">
        <x:v>TEAM
Muaz • Iskandar • Haziq • Faiz</x:v>
      </x:c>
      <x:c r="AE4" s="5" t="str">
        <x:v>TEAM
Muaz • Iskandar • Haziq • Faiz</x:v>
      </x:c>
      <x:c r="AF4" s="5" t="str">
        <x:v>TEAM
Muaz • Iskandar • Haziq • Faiz</x:v>
      </x:c>
      <x:c r="AG4" s="5" t="str">
        <x:v>TEAM
Muaz • Iskandar • Haziq • Faiz</x:v>
      </x:c>
      <x:c r="AH4" s="5" t="str">
        <x:v>TEAM
Muaz • Iskandar • Haziq • Faiz</x:v>
      </x:c>
      <x:c r="AI4" s="5" t="str">
        <x:v>TEAM
Muaz • Iskandar • Haziq • Faiz</x:v>
      </x:c>
    </x:row>
    <x:row r="5" ht="25" customHeight="1">
      <x:c r="A5" s="5" t="str">
        <x:v>PROJECT
Surplus meal pilot and packaged fertilizer experiment</x:v>
      </x:c>
      <x:c r="B5" s="5" t="str">
        <x:v>PROJECT
Surplus meal pilot and packaged fertilizer experiment</x:v>
      </x:c>
      <x:c r="C5" s="5" t="str">
        <x:v>PROJECT
Surplus meal pilot and packaged fertilizer experiment</x:v>
      </x:c>
      <x:c r="D5" s="5" t="str">
        <x:v>PROJECT
Surplus meal pilot and packaged fertilizer experiment</x:v>
      </x:c>
      <x:c r="E5" s="5" t="str">
        <x:v>PROJECT
Surplus meal pilot and packaged fertilizer experiment</x:v>
      </x:c>
      <x:c r="F5" s="5" t="str">
        <x:v>PROJECT
Surplus meal pilot and packaged fertilizer experiment</x:v>
      </x:c>
      <x:c r="G5" s="5" t="str">
        <x:v>PROJECT
Surplus meal pilot and packaged fertilizer experiment</x:v>
      </x:c>
      <x:c r="H5" s="5" t="str">
        <x:v>PROJECT
Surplus meal pilot and packaged fertilizer experiment</x:v>
      </x:c>
      <x:c r="I5" s="5" t="str">
        <x:v>KEY DATES
9 Oct registration | 18 Oct readiness | 23 Oct submission | 30 Oct final</x:v>
      </x:c>
      <x:c r="J5" s="5" t="str">
        <x:v>KEY DATES
9 Oct registration | 18 Oct readiness | 23 Oct submission | 30 Oct final</x:v>
      </x:c>
      <x:c r="K5" s="5" t="str">
        <x:v>KEY DATES
9 Oct registration | 18 Oct readiness | 23 Oct submission | 30 Oct final</x:v>
      </x:c>
      <x:c r="L5" s="5" t="str">
        <x:v>KEY DATES
9 Oct registration | 18 Oct readiness | 23 Oct submission | 30 Oct final</x:v>
      </x:c>
      <x:c r="M5" s="5" t="str">
        <x:v>KEY DATES
9 Oct registration | 18 Oct readiness | 23 Oct submission | 30 Oct final</x:v>
      </x:c>
      <x:c r="N5" s="5" t="str">
        <x:v>KEY DATES
9 Oct registration | 18 Oct readiness | 23 Oct submission | 30 Oct final</x:v>
      </x:c>
      <x:c r="O5" s="5" t="str">
        <x:v>KEY DATES
9 Oct registration | 18 Oct readiness | 23 Oct submission | 30 Oct final</x:v>
      </x:c>
      <x:c r="P5" s="5" t="str">
        <x:v>KEY DATES
9 Oct registration | 18 Oct readiness | 23 Oct submission | 30 Oct final</x:v>
      </x:c>
      <x:c r="Q5" s="5" t="str">
        <x:v>KEY DATES
9 Oct registration | 18 Oct readiness | 23 Oct submission | 30 Oct final</x:v>
      </x:c>
      <x:c r="R5" s="5" t="str">
        <x:v>KEY DATES
9 Oct registration | 18 Oct readiness | 23 Oct submission | 30 Oct final</x:v>
      </x:c>
      <x:c r="S5" s="5" t="str">
        <x:v>KEY DATES
9 Oct registration | 18 Oct readiness | 23 Oct submission | 30 Oct final</x:v>
      </x:c>
      <x:c r="T5" s="5" t="str">
        <x:v>KEY DATES
9 Oct registration | 18 Oct readiness | 23 Oct submission | 30 Oct final</x:v>
      </x:c>
      <x:c r="U5" s="5" t="str">
        <x:v>TEAM
Muaz • Iskandar • Haziq • Faiz</x:v>
      </x:c>
      <x:c r="V5" s="5" t="str">
        <x:v>TEAM
Muaz • Iskandar • Haziq • Faiz</x:v>
      </x:c>
      <x:c r="W5" s="5" t="str">
        <x:v>TEAM
Muaz • Iskandar • Haziq • Faiz</x:v>
      </x:c>
      <x:c r="X5" s="5" t="str">
        <x:v>TEAM
Muaz • Iskandar • Haziq • Faiz</x:v>
      </x:c>
      <x:c r="Y5" s="5" t="str">
        <x:v>TEAM
Muaz • Iskandar • Haziq • Faiz</x:v>
      </x:c>
      <x:c r="Z5" s="5" t="str">
        <x:v>TEAM
Muaz • Iskandar • Haziq • Faiz</x:v>
      </x:c>
      <x:c r="AA5" s="5" t="str">
        <x:v>TEAM
Muaz • Iskandar • Haziq • Faiz</x:v>
      </x:c>
      <x:c r="AB5" s="5" t="str">
        <x:v>TEAM
Muaz • Iskandar • Haziq • Faiz</x:v>
      </x:c>
      <x:c r="AC5" s="5" t="str">
        <x:v>TEAM
Muaz • Iskandar • Haziq • Faiz</x:v>
      </x:c>
      <x:c r="AD5" s="5" t="str">
        <x:v>TEAM
Muaz • Iskandar • Haziq • Faiz</x:v>
      </x:c>
      <x:c r="AE5" s="5" t="str">
        <x:v>TEAM
Muaz • Iskandar • Haziq • Faiz</x:v>
      </x:c>
      <x:c r="AF5" s="5" t="str">
        <x:v>TEAM
Muaz • Iskandar • Haziq • Faiz</x:v>
      </x:c>
      <x:c r="AG5" s="5" t="str">
        <x:v>TEAM
Muaz • Iskandar • Haziq • Faiz</x:v>
      </x:c>
      <x:c r="AH5" s="5" t="str">
        <x:v>TEAM
Muaz • Iskandar • Haziq • Faiz</x:v>
      </x:c>
      <x:c r="AI5" s="5" t="str">
        <x:v>TEAM
Muaz • Iskandar • Haziq • Faiz</x:v>
      </x:c>
    </x:row>
    <x:row r="6" ht="25" customHeight="1">
      <x:c r="A6" s="7" t="str">
        <x:v>DISCOVER → AGREE → PILOT + EXPERIMENT → DEMONSTRATE → PITCH</x:v>
      </x:c>
      <x:c r="B6" s="7" t="str">
        <x:v>DISCOVER → AGREE → PILOT + EXPERIMENT → DEMONSTRATE → PITCH</x:v>
      </x:c>
      <x:c r="C6" s="7" t="str">
        <x:v>DISCOVER → AGREE → PILOT + EXPERIMENT → DEMONSTRATE → PITCH</x:v>
      </x:c>
      <x:c r="D6" s="7" t="str">
        <x:v>DISCOVER → AGREE → PILOT + EXPERIMENT → DEMONSTRATE → PITCH</x:v>
      </x:c>
      <x:c r="E6" s="7" t="str">
        <x:v>DISCOVER → AGREE → PILOT + EXPERIMENT → DEMONSTRATE → PITCH</x:v>
      </x:c>
      <x:c r="F6" s="7" t="str">
        <x:v>DISCOVER → AGREE → PILOT + EXPERIMENT → DEMONSTRATE → PITCH</x:v>
      </x:c>
      <x:c r="G6" s="7" t="str">
        <x:v>DISCOVER → AGREE → PILOT + EXPERIMENT → DEMONSTRATE → PITCH</x:v>
      </x:c>
      <x:c r="H6" s="7" t="str">
        <x:v>DISCOVER → AGREE → PILOT + EXPERIMENT → DEMONSTRATE → PITCH</x:v>
      </x:c>
      <x:c r="I6" s="7" t="str">
        <x:v>DISCOVER → AGREE → PILOT + EXPERIMENT → DEMONSTRATE → PITCH</x:v>
      </x:c>
      <x:c r="J6" s="7" t="str">
        <x:v>DISCOVER → AGREE → PILOT + EXPERIMENT → DEMONSTRATE → PITCH</x:v>
      </x:c>
      <x:c r="K6" s="7" t="str">
        <x:v>DISCOVER → AGREE → PILOT + EXPERIMENT → DEMONSTRATE → PITCH</x:v>
      </x:c>
      <x:c r="L6" s="7" t="str">
        <x:v>DISCOVER → AGREE → PILOT + EXPERIMENT → DEMONSTRATE → PITCH</x:v>
      </x:c>
      <x:c r="M6" s="7" t="str">
        <x:v>DISCOVER → AGREE → PILOT + EXPERIMENT → DEMONSTRATE → PITCH</x:v>
      </x:c>
      <x:c r="N6" s="7" t="str">
        <x:v>DISCOVER → AGREE → PILOT + EXPERIMENT → DEMONSTRATE → PITCH</x:v>
      </x:c>
      <x:c r="O6" s="7" t="str">
        <x:v>DISCOVER → AGREE → PILOT + EXPERIMENT → DEMONSTRATE → PITCH</x:v>
      </x:c>
      <x:c r="P6" s="7" t="str">
        <x:v>DISCOVER → AGREE → PILOT + EXPERIMENT → DEMONSTRATE → PITCH</x:v>
      </x:c>
      <x:c r="Q6" s="7" t="str">
        <x:v>DISCOVER → AGREE → PILOT + EXPERIMENT → DEMONSTRATE → PITCH</x:v>
      </x:c>
      <x:c r="R6" s="7" t="str">
        <x:v>DISCOVER → AGREE → PILOT + EXPERIMENT → DEMONSTRATE → PITCH</x:v>
      </x:c>
      <x:c r="S6" s="7" t="str">
        <x:v>DISCOVER → AGREE → PILOT + EXPERIMENT → DEMONSTRATE → PITCH</x:v>
      </x:c>
      <x:c r="T6" s="7" t="str">
        <x:v>DISCOVER → AGREE → PILOT + EXPERIMENT → DEMONSTRATE → PITCH</x:v>
      </x:c>
      <x:c r="U6" s="7" t="str">
        <x:v>DISCOVER → AGREE → PILOT + EXPERIMENT → DEMONSTRATE → PITCH</x:v>
      </x:c>
      <x:c r="V6" s="7" t="str">
        <x:v>DISCOVER → AGREE → PILOT + EXPERIMENT → DEMONSTRATE → PITCH</x:v>
      </x:c>
      <x:c r="W6" s="7" t="str">
        <x:v>DISCOVER → AGREE → PILOT + EXPERIMENT → DEMONSTRATE → PITCH</x:v>
      </x:c>
      <x:c r="X6" s="7" t="str">
        <x:v>DISCOVER → AGREE → PILOT + EXPERIMENT → DEMONSTRATE → PITCH</x:v>
      </x:c>
      <x:c r="Y6" s="7" t="str">
        <x:v>DISCOVER → AGREE → PILOT + EXPERIMENT → DEMONSTRATE → PITCH</x:v>
      </x:c>
      <x:c r="Z6" s="7" t="str">
        <x:v>DISCOVER → AGREE → PILOT + EXPERIMENT → DEMONSTRATE → PITCH</x:v>
      </x:c>
      <x:c r="AA6" s="7" t="str">
        <x:v>DISCOVER → AGREE → PILOT + EXPERIMENT → DEMONSTRATE → PITCH</x:v>
      </x:c>
      <x:c r="AB6" s="7" t="str">
        <x:v>DISCOVER → AGREE → PILOT + EXPERIMENT → DEMONSTRATE → PITCH</x:v>
      </x:c>
      <x:c r="AC6" s="7" t="str">
        <x:v>DISCOVER → AGREE → PILOT + EXPERIMENT → DEMONSTRATE → PITCH</x:v>
      </x:c>
      <x:c r="AD6" s="7" t="str">
        <x:v>DISCOVER → AGREE → PILOT + EXPERIMENT → DEMONSTRATE → PITCH</x:v>
      </x:c>
      <x:c r="AE6" s="7" t="str">
        <x:v>DISCOVER → AGREE → PILOT + EXPERIMENT → DEMONSTRATE → PITCH</x:v>
      </x:c>
      <x:c r="AF6" s="7" t="str">
        <x:v>DISCOVER → AGREE → PILOT + EXPERIMENT → DEMONSTRATE → PITCH</x:v>
      </x:c>
      <x:c r="AG6" s="7" t="str">
        <x:v>DISCOVER → AGREE → PILOT + EXPERIMENT → DEMONSTRATE → PITCH</x:v>
      </x:c>
      <x:c r="AH6" s="7" t="str">
        <x:v>DISCOVER → AGREE → PILOT + EXPERIMENT → DEMONSTRATE → PITCH</x:v>
      </x:c>
      <x:c r="AI6" s="7" t="str">
        <x:v>DISCOVER → AGREE → PILOT + EXPERIMENT → DEMONSTRATE → PITCH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</x:row>
    <x:row r="8" ht="26" customHeight="1">
      <x:c r="A8" s="9" t="str">
        <x:v>Workstream</x:v>
      </x:c>
      <x:c r="B8" s="9" t="str">
        <x:v>Task / Deliverable</x:v>
      </x:c>
      <x:c r="C8" s="9" t="str">
        <x:v>Owner</x:v>
      </x:c>
      <x:c r="D8" s="9" t="str">
        <x:v>People</x:v>
      </x:c>
      <x:c r="E8" s="9" t="str">
        <x:v>Notes</x:v>
      </x:c>
      <x:c r="F8" s="9" t="str">
        <x:v>Start</x:v>
      </x:c>
      <x:c r="G8" s="9" t="str">
        <x:v>End</x:v>
      </x:c>
      <x:c r="H8" s="2"/>
      <x:c r="I8" s="32" t="str">
        <x:v>TEAM ALLOCATION</x:v>
      </x:c>
      <x:c r="J8" s="32" t="str">
        <x:v>TEAM ALLOCATION</x:v>
      </x:c>
      <x:c r="K8" s="32" t="str">
        <x:v>TEAM ALLOCATION</x:v>
      </x:c>
      <x:c r="L8" s="32" t="str">
        <x:v>TEAM ALLOCATION</x:v>
      </x:c>
      <x:c r="M8" s="32" t="str">
        <x:v>TEAM ALLOCATION</x:v>
      </x:c>
      <x:c r="N8" s="32" t="str">
        <x:v>TEAM ALLOCATION</x:v>
      </x:c>
      <x:c r="O8" s="32" t="str">
        <x:v>TEAM ALLOCATION</x:v>
      </x:c>
      <x:c r="P8" s="32" t="str">
        <x:v>TEAM ALLOCATION</x:v>
      </x:c>
      <x:c r="Q8" s="32" t="str">
        <x:v>TEAM ALLOCATION</x:v>
      </x:c>
      <x:c r="R8" s="32" t="str">
        <x:v>TEAM ALLOCATION</x:v>
      </x:c>
      <x:c r="S8" s="32" t="str">
        <x:v>TEAM ALLOCATION</x:v>
      </x:c>
      <x:c r="T8" s="32" t="str">
        <x:v>TEAM ALLOCATION</x:v>
      </x:c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</x:row>
    <x:row r="9" ht="43" customHeight="1">
      <x:c r="A9" s="15" t="str">
        <x:v>PLAN</x:v>
      </x:c>
      <x:c r="B9" s="12" t="str">
        <x:v>Confirm scope, roles and RM100 budget</x:v>
      </x:c>
      <x:c r="C9" s="12" t="str">
        <x:v>All</x:v>
      </x:c>
      <x:c r="D9" s="12" t="n">
        <x:v>4</x:v>
      </x:c>
      <x:c r="E9" s="12" t="str">
        <x:v>Price essentials before spending; assign pilot support.</x:v>
      </x:c>
      <x:c r="F9" s="13" t="n">
        <x:v>46293</x:v>
      </x:c>
      <x:c r="G9" s="13" t="n">
        <x:v>46294</x:v>
      </x:c>
      <x:c r="H9" s="2"/>
      <x:c r="I9" s="33" t="str">
        <x:v>Area</x:v>
      </x:c>
      <x:c r="J9" s="33" t="str">
        <x:v>Area</x:v>
      </x:c>
      <x:c r="K9" s="33" t="str">
        <x:v>Area</x:v>
      </x:c>
      <x:c r="L9" s="33" t="str">
        <x:v>Area</x:v>
      </x:c>
      <x:c r="M9" s="33" t="str">
        <x:v>Area</x:v>
      </x:c>
      <x:c r="N9" s="33" t="str">
        <x:v>Area</x:v>
      </x:c>
      <x:c r="O9" s="2" t="str">
        <x:v>Slots</x:v>
      </x:c>
      <x:c r="P9" s="3" t="str">
        <x:v>Names</x:v>
      </x:c>
      <x:c r="Q9" s="3" t="str">
        <x:v>Names</x:v>
      </x:c>
      <x:c r="R9" s="3" t="str">
        <x:v>Names</x:v>
      </x:c>
      <x:c r="S9" s="3" t="str">
        <x:v>Names</x:v>
      </x:c>
      <x:c r="T9" s="3" t="str">
        <x:v>Names</x:v>
      </x:c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</x:row>
    <x:row r="10" ht="43" customHeight="1">
      <x:c r="A10" s="17" t="str">
        <x:v>DISCOVERY</x:v>
      </x:c>
      <x:c r="B10" s="3" t="str">
        <x:v>Interview cabin vendor</x:v>
      </x:c>
      <x:c r="C10" s="3" t="str">
        <x:v>Iskandar</x:v>
      </x:c>
      <x:c r="D10" s="3" t="n">
        <x:v>1</x:v>
      </x:c>
      <x:c r="E10" s="3" t="str">
        <x:v>Check surplus, current uses, pricing and participation.</x:v>
      </x:c>
      <x:c r="F10" s="11" t="n">
        <x:v>46293</x:v>
      </x:c>
      <x:c r="G10" s="11" t="n">
        <x:v>46299</x:v>
      </x:c>
      <x:c r="H10" s="2"/>
      <x:c r="I10" s="12" t="str">
        <x:v>Leadership and app demonstration</x:v>
      </x:c>
      <x:c r="J10" s="12" t="str">
        <x:v>Leadership and app demonstration</x:v>
      </x:c>
      <x:c r="K10" s="12" t="str">
        <x:v>Leadership and app demonstration</x:v>
      </x:c>
      <x:c r="L10" s="12" t="str">
        <x:v>Leadership and app demonstration</x:v>
      </x:c>
      <x:c r="M10" s="12" t="str">
        <x:v>Leadership and app demonstration</x:v>
      </x:c>
      <x:c r="N10" s="12" t="str">
        <x:v>Leadership and app demonstration</x:v>
      </x:c>
      <x:c r="O10" s="2" t="n">
        <x:v>1</x:v>
      </x:c>
      <x:c r="P10" s="3" t="str">
        <x:v>Muaz</x:v>
      </x:c>
      <x:c r="Q10" s="3" t="str">
        <x:v>Muaz</x:v>
      </x:c>
      <x:c r="R10" s="3" t="str">
        <x:v>Muaz</x:v>
      </x:c>
      <x:c r="S10" s="3" t="str">
        <x:v>Muaz</x:v>
      </x:c>
      <x:c r="T10" s="3" t="str">
        <x:v>Muaz</x:v>
      </x:c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</x:row>
    <x:row r="11" ht="43" customHeight="1">
      <x:c r="A11" s="17" t="str">
        <x:v>DISCOVERY</x:v>
      </x:c>
      <x:c r="B11" s="12" t="str">
        <x:v>Survey nearby students</x:v>
      </x:c>
      <x:c r="C11" s="12" t="str">
        <x:v>Iskandar</x:v>
      </x:c>
      <x:c r="D11" s="12" t="n">
        <x:v>1</x:v>
      </x:c>
      <x:c r="E11" s="12" t="str">
        <x:v>Test late collection demand and total meal price.</x:v>
      </x:c>
      <x:c r="F11" s="13" t="n">
        <x:v>46293</x:v>
      </x:c>
      <x:c r="G11" s="13" t="n">
        <x:v>46299</x:v>
      </x:c>
      <x:c r="H11" s="2"/>
      <x:c r="I11" s="12" t="str">
        <x:v>Operations and customer discovery</x:v>
      </x:c>
      <x:c r="J11" s="12" t="str">
        <x:v>Operations and customer discovery</x:v>
      </x:c>
      <x:c r="K11" s="12" t="str">
        <x:v>Operations and customer discovery</x:v>
      </x:c>
      <x:c r="L11" s="12" t="str">
        <x:v>Operations and customer discovery</x:v>
      </x:c>
      <x:c r="M11" s="12" t="str">
        <x:v>Operations and customer discovery</x:v>
      </x:c>
      <x:c r="N11" s="12" t="str">
        <x:v>Operations and customer discovery</x:v>
      </x:c>
      <x:c r="O11" s="2" t="n">
        <x:v>1</x:v>
      </x:c>
      <x:c r="P11" s="3" t="str">
        <x:v>Iskandar</x:v>
      </x:c>
      <x:c r="Q11" s="3" t="str">
        <x:v>Iskandar</x:v>
      </x:c>
      <x:c r="R11" s="3" t="str">
        <x:v>Iskandar</x:v>
      </x:c>
      <x:c r="S11" s="3" t="str">
        <x:v>Iskandar</x:v>
      </x:c>
      <x:c r="T11" s="3" t="str">
        <x:v>Iskandar</x:v>
      </x:c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</x:row>
    <x:row r="12" ht="43" customHeight="1">
      <x:c r="A12" s="15" t="str">
        <x:v>PLAN</x:v>
      </x:c>
      <x:c r="B12" s="3" t="str">
        <x:v>Complete competition registration</x:v>
      </x:c>
      <x:c r="C12" s="3" t="str">
        <x:v>Iskandar</x:v>
      </x:c>
      <x:c r="D12" s="3" t="n">
        <x:v>1</x:v>
      </x:c>
      <x:c r="E12" s="3" t="str">
        <x:v>Verify organizer requirements; deadline 9 Oct.</x:v>
      </x:c>
      <x:c r="F12" s="11" t="n">
        <x:v>46293</x:v>
      </x:c>
      <x:c r="G12" s="11" t="n">
        <x:v>46304</x:v>
      </x:c>
      <x:c r="H12" s="2"/>
      <x:c r="I12" s="12" t="str">
        <x:v>Brand, pitch media and packaging design</x:v>
      </x:c>
      <x:c r="J12" s="12" t="str">
        <x:v>Brand, pitch media and packaging design</x:v>
      </x:c>
      <x:c r="K12" s="12" t="str">
        <x:v>Brand, pitch media and packaging design</x:v>
      </x:c>
      <x:c r="L12" s="12" t="str">
        <x:v>Brand, pitch media and packaging design</x:v>
      </x:c>
      <x:c r="M12" s="12" t="str">
        <x:v>Brand, pitch media and packaging design</x:v>
      </x:c>
      <x:c r="N12" s="12" t="str">
        <x:v>Brand, pitch media and packaging design</x:v>
      </x:c>
      <x:c r="O12" s="2" t="n">
        <x:v>1</x:v>
      </x:c>
      <x:c r="P12" s="3" t="str">
        <x:v>Haziq</x:v>
      </x:c>
      <x:c r="Q12" s="3" t="str">
        <x:v>Haziq</x:v>
      </x:c>
      <x:c r="R12" s="3" t="str">
        <x:v>Haziq</x:v>
      </x:c>
      <x:c r="S12" s="3" t="str">
        <x:v>Haziq</x:v>
      </x:c>
      <x:c r="T12" s="3" t="str">
        <x:v>Haziq</x:v>
      </x:c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</x:row>
    <x:row r="13" ht="43" customHeight="1">
      <x:c r="A13" s="19" t="str">
        <x:v>BRAND</x:v>
      </x:c>
      <x:c r="B13" s="12" t="str">
        <x:v>Prepare logo and promotional material</x:v>
      </x:c>
      <x:c r="C13" s="12" t="str">
        <x:v>Haziq</x:v>
      </x:c>
      <x:c r="D13" s="12" t="n">
        <x:v>1</x:v>
      </x:c>
      <x:c r="E13" s="12" t="str">
        <x:v>Support residence outreach and competition identity.</x:v>
      </x:c>
      <x:c r="F13" s="13" t="n">
        <x:v>46293</x:v>
      </x:c>
      <x:c r="G13" s="13" t="n">
        <x:v>46299</x:v>
      </x:c>
      <x:c r="H13" s="2"/>
      <x:c r="I13" s="12" t="str">
        <x:v>Experiment and sustainability</x:v>
      </x:c>
      <x:c r="J13" s="12" t="str">
        <x:v>Experiment and sustainability</x:v>
      </x:c>
      <x:c r="K13" s="12" t="str">
        <x:v>Experiment and sustainability</x:v>
      </x:c>
      <x:c r="L13" s="12" t="str">
        <x:v>Experiment and sustainability</x:v>
      </x:c>
      <x:c r="M13" s="12" t="str">
        <x:v>Experiment and sustainability</x:v>
      </x:c>
      <x:c r="N13" s="12" t="str">
        <x:v>Experiment and sustainability</x:v>
      </x:c>
      <x:c r="O13" s="2" t="n">
        <x:v>1</x:v>
      </x:c>
      <x:c r="P13" s="3" t="str">
        <x:v>Faiz</x:v>
      </x:c>
      <x:c r="Q13" s="3" t="str">
        <x:v>Faiz</x:v>
      </x:c>
      <x:c r="R13" s="3" t="str">
        <x:v>Faiz</x:v>
      </x:c>
      <x:c r="S13" s="3" t="str">
        <x:v>Faiz</x:v>
      </x:c>
      <x:c r="T13" s="3" t="str">
        <x:v>Faiz</x:v>
      </x:c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</x:row>
    <x:row r="14" ht="43" customHeight="1">
      <x:c r="A14" s="21" t="str">
        <x:v>R&amp;D</x:v>
      </x:c>
      <x:c r="B14" s="3" t="str">
        <x:v>Select experiment method and location</x:v>
      </x:c>
      <x:c r="C14" s="3" t="str">
        <x:v>Faiz</x:v>
      </x:c>
      <x:c r="D14" s="3" t="n">
        <x:v>1</x:v>
      </x:c>
      <x:c r="E14" s="3" t="str">
        <x:v>Seek guidance; choose inputs and realistic duration.</x:v>
      </x:c>
      <x:c r="F14" s="11" t="n">
        <x:v>46293</x:v>
      </x:c>
      <x:c r="G14" s="11" t="n">
        <x:v>46299</x:v>
      </x:c>
      <x:c r="H14" s="2"/>
      <x:c r="I14" s="12" t="str">
        <x:v>Pilot support and fee reconciliation</x:v>
      </x:c>
      <x:c r="J14" s="12" t="str">
        <x:v>Pilot support and fee reconciliation</x:v>
      </x:c>
      <x:c r="K14" s="12" t="str">
        <x:v>Pilot support and fee reconciliation</x:v>
      </x:c>
      <x:c r="L14" s="12" t="str">
        <x:v>Pilot support and fee reconciliation</x:v>
      </x:c>
      <x:c r="M14" s="12" t="str">
        <x:v>Pilot support and fee reconciliation</x:v>
      </x:c>
      <x:c r="N14" s="12" t="str">
        <x:v>Pilot support and fee reconciliation</x:v>
      </x:c>
      <x:c r="O14" s="2" t="n">
        <x:v>1</x:v>
      </x:c>
      <x:c r="P14" s="3" t="str">
        <x:v>Iskandar (proposed)</x:v>
      </x:c>
      <x:c r="Q14" s="3" t="str">
        <x:v>Iskandar (proposed)</x:v>
      </x:c>
      <x:c r="R14" s="3" t="str">
        <x:v>Iskandar (proposed)</x:v>
      </x:c>
      <x:c r="S14" s="3" t="str">
        <x:v>Iskandar (proposed)</x:v>
      </x:c>
      <x:c r="T14" s="3" t="str">
        <x:v>Iskandar (proposed)</x:v>
      </x:c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</x:row>
    <x:row r="15" ht="43" customHeight="1">
      <x:c r="A15" s="23" t="str">
        <x:v>MVP</x:v>
      </x:c>
      <x:c r="B15" s="12" t="str">
        <x:v>Prepare functional, polished app demonstration</x:v>
      </x:c>
      <x:c r="C15" s="12" t="str">
        <x:v>Muaz</x:v>
      </x:c>
      <x:c r="D15" s="12" t="n">
        <x:v>1</x:v>
      </x:c>
      <x:c r="E15" s="12" t="str">
        <x:v>Business scope: offers, reservations and collection records.</x:v>
      </x:c>
      <x:c r="F15" s="13" t="n">
        <x:v>46293</x:v>
      </x:c>
      <x:c r="G15" s="13" t="n">
        <x:v>46313</x:v>
      </x:c>
      <x:c r="H15" s="2"/>
      <x:c r="I15" s="12" t="str">
        <x:v>Future waste collection assistance</x:v>
      </x:c>
      <x:c r="J15" s="12" t="str">
        <x:v>Future waste collection assistance</x:v>
      </x:c>
      <x:c r="K15" s="12" t="str">
        <x:v>Future waste collection assistance</x:v>
      </x:c>
      <x:c r="L15" s="12" t="str">
        <x:v>Future waste collection assistance</x:v>
      </x:c>
      <x:c r="M15" s="12" t="str">
        <x:v>Future waste collection assistance</x:v>
      </x:c>
      <x:c r="N15" s="12" t="str">
        <x:v>Future waste collection assistance</x:v>
      </x:c>
      <x:c r="O15" s="2"/>
      <x:c r="P15" s="3" t="str">
        <x:v>To be assigned</x:v>
      </x:c>
      <x:c r="Q15" s="3" t="str">
        <x:v>To be assigned</x:v>
      </x:c>
      <x:c r="R15" s="3" t="str">
        <x:v>To be assigned</x:v>
      </x:c>
      <x:c r="S15" s="3" t="str">
        <x:v>To be assigned</x:v>
      </x:c>
      <x:c r="T15" s="3" t="str">
        <x:v>To be assigned</x:v>
      </x:c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43" customHeight="1">
      <x:c r="A16" s="25" t="str">
        <x:v>PILOT</x:v>
      </x:c>
      <x:c r="B16" s="3" t="str">
        <x:v>Agree vendor operating arrangement</x:v>
      </x:c>
      <x:c r="C16" s="3" t="str">
        <x:v>Iskandar, Muaz</x:v>
      </x:c>
      <x:c r="D16" s="3" t="n">
        <x:v>2</x:v>
      </x:c>
      <x:c r="E16" s="3" t="str">
        <x:v>Participation, handling, fees, contact and no-show policy.</x:v>
      </x:c>
      <x:c r="F16" s="11" t="n">
        <x:v>46300</x:v>
      </x:c>
      <x:c r="G16" s="11" t="n">
        <x:v>46302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</x:row>
    <x:row r="17" ht="43" customHeight="1">
      <x:c r="A17" s="25" t="str">
        <x:v>PILOT</x:v>
      </x:c>
      <x:c r="B17" s="12" t="str">
        <x:v>Promote Telegram reservation pilot</x:v>
      </x:c>
      <x:c r="C17" s="12" t="str">
        <x:v>Iskandar, Haziq</x:v>
      </x:c>
      <x:c r="D17" s="12" t="n">
        <x:v>2</x:v>
      </x:c>
      <x:c r="E17" s="12" t="str">
        <x:v>Residence WhatsApp to Telegram; only after agreement.</x:v>
      </x:c>
      <x:c r="F17" s="13" t="n">
        <x:v>46303</x:v>
      </x:c>
      <x:c r="G17" s="13" t="n">
        <x:v>46306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</x:row>
    <x:row r="18" ht="43" customHeight="1">
      <x:c r="A18" s="25" t="str">
        <x:v>PILOT</x:v>
      </x:c>
      <x:c r="B18" s="3" t="str">
        <x:v>Run paid meal collections and reconcile fees</x:v>
      </x:c>
      <x:c r="C18" s="3" t="str">
        <x:v>Iskandar</x:v>
      </x:c>
      <x:c r="D18" s="3" t="n">
        <x:v>1</x:v>
      </x:c>
      <x:c r="E18" s="3" t="str">
        <x:v>Proposed lead; vendor agreement required. Daily settlement.</x:v>
      </x:c>
      <x:c r="F18" s="11" t="n">
        <x:v>46307</x:v>
      </x:c>
      <x:c r="G18" s="11" t="n">
        <x:v>46313</x:v>
      </x:c>
      <x:c r="H18" s="2"/>
      <x:c r="I18" s="3" t="str">
        <x:v>PLANNING BASIS
Detailed dates and new task allocations are proposals. Milestones follow the team’s strategy; confirm organizer requirements.</x:v>
      </x:c>
      <x:c r="J18" s="3" t="str">
        <x:v>PLANNING BASIS
Detailed dates and new task allocations are proposals. Milestones follow the team’s strategy; confirm organizer requirements.</x:v>
      </x:c>
      <x:c r="K18" s="3" t="str">
        <x:v>PLANNING BASIS
Detailed dates and new task allocations are proposals. Milestones follow the team’s strategy; confirm organizer requirements.</x:v>
      </x:c>
      <x:c r="L18" s="3" t="str">
        <x:v>PLANNING BASIS
Detailed dates and new task allocations are proposals. Milestones follow the team’s strategy; confirm organizer requirements.</x:v>
      </x:c>
      <x:c r="M18" s="3" t="str">
        <x:v>PLANNING BASIS
Detailed dates and new task allocations are proposals. Milestones follow the team’s strategy; confirm organizer requirements.</x:v>
      </x:c>
      <x:c r="N18" s="3" t="str">
        <x:v>PLANNING BASIS
Detailed dates and new task allocations are proposals. Milestones follow the team’s strategy; confirm organizer requirements.</x:v>
      </x:c>
      <x:c r="O18" s="3" t="str">
        <x:v>PLANNING BASIS
Detailed dates and new task allocations are proposals. Milestones follow the team’s strategy; confirm organizer requirements.</x:v>
      </x:c>
      <x:c r="P18" s="3" t="str">
        <x:v>PLANNING BASIS
Detailed dates and new task allocations are proposals. Milestones follow the team’s strategy; confirm organizer requirements.</x:v>
      </x:c>
      <x:c r="Q18" s="3" t="str">
        <x:v>PLANNING BASIS
Detailed dates and new task allocations are proposals. Milestones follow the team’s strategy; confirm organizer requirements.</x:v>
      </x:c>
      <x:c r="R18" s="3" t="str">
        <x:v>PLANNING BASIS
Detailed dates and new task allocations are proposals. Milestones follow the team’s strategy; confirm organizer requirements.</x:v>
      </x:c>
      <x:c r="S18" s="3" t="str">
        <x:v>PLANNING BASIS
Detailed dates and new task allocations are proposals. Milestones follow the team’s strategy; confirm organizer requirements.</x:v>
      </x:c>
      <x:c r="T18" s="3" t="str">
        <x:v>PLANNING BASIS
Detailed dates and new task allocations are proposals. Milestones follow the team’s strategy; confirm organizer requirements.</x:v>
      </x:c>
      <x:c r="U18" s="3" t="str">
        <x:v>PLANNING BASIS
Detailed dates and new task allocations are proposals. Milestones follow the team’s strategy; confirm organizer requirements.</x:v>
      </x:c>
      <x:c r="V18" s="3" t="str">
        <x:v>PLANNING BASIS
Detailed dates and new task allocations are proposals. Milestones follow the team’s strategy; confirm organizer requirements.</x:v>
      </x:c>
      <x:c r="W18" s="3" t="str">
        <x:v>PLANNING BASIS
Detailed dates and new task allocations are proposals. Milestones follow the team’s strategy; confirm organizer requirements.</x:v>
      </x:c>
      <x:c r="X18" s="3" t="str">
        <x:v>PLANNING BASIS
Detailed dates and new task allocations are proposals. Milestones follow the team’s strategy; confirm organizer requirements.</x:v>
      </x:c>
      <x:c r="Y18" s="3" t="str">
        <x:v>PLANNING BASIS
Detailed dates and new task allocations are proposals. Milestones follow the team’s strategy; confirm organizer requirements.</x:v>
      </x:c>
      <x:c r="Z18" s="3" t="str">
        <x:v>PLANNING BASIS
Detailed dates and new task allocations are proposals. Milestones follow the team’s strategy; confirm organizer requirements.</x:v>
      </x:c>
      <x:c r="AA18" s="3" t="str">
        <x:v>PLANNING BASIS
Detailed dates and new task allocations are proposals. Milestones follow the team’s strategy; confirm organizer requirements.</x:v>
      </x:c>
      <x:c r="AB18" s="3" t="str">
        <x:v>PLANNING BASIS
Detailed dates and new task allocations are proposals. Milestones follow the team’s strategy; confirm organizer requirements.</x:v>
      </x:c>
      <x:c r="AC18" s="3" t="str">
        <x:v>PLANNING BASIS
Detailed dates and new task allocations are proposals. Milestones follow the team’s strategy; confirm organizer requirements.</x:v>
      </x:c>
      <x:c r="AD18" s="3" t="str">
        <x:v>PLANNING BASIS
Detailed dates and new task allocations are proposals. Milestones follow the team’s strategy; confirm organizer requirements.</x:v>
      </x:c>
      <x:c r="AE18" s="3" t="str">
        <x:v>PLANNING BASIS
Detailed dates and new task allocations are proposals. Milestones follow the team’s strategy; confirm organizer requirements.</x:v>
      </x:c>
      <x:c r="AF18" s="3" t="str">
        <x:v>PLANNING BASIS
Detailed dates and new task allocations are proposals. Milestones follow the team’s strategy; confirm organizer requirements.</x:v>
      </x:c>
      <x:c r="AG18" s="3" t="str">
        <x:v>PLANNING BASIS
Detailed dates and new task allocations are proposals. Milestones follow the team’s strategy; confirm organizer requirements.</x:v>
      </x:c>
      <x:c r="AH18" s="3" t="str">
        <x:v>PLANNING BASIS
Detailed dates and new task allocations are proposals. Milestones follow the team’s strategy; confirm organizer requirements.</x:v>
      </x:c>
      <x:c r="AI18" s="3" t="str">
        <x:v>PLANNING BASIS
Detailed dates and new task allocations are proposals. Milestones follow the team’s strategy; confirm organizer requirements.</x:v>
      </x:c>
    </x:row>
    <x:row r="19" ht="43" customHeight="1">
      <x:c r="A19" s="21" t="str">
        <x:v>R&amp;D</x:v>
      </x:c>
      <x:c r="B19" s="12" t="str">
        <x:v>Run and document purchased-material experiment</x:v>
      </x:c>
      <x:c r="C19" s="12" t="str">
        <x:v>Faiz</x:v>
      </x:c>
      <x:c r="D19" s="12" t="n">
        <x:v>1</x:v>
      </x:c>
      <x:c r="E19" s="12" t="str">
        <x:v>Provisional window; method controls duration. No sales.</x:v>
      </x:c>
      <x:c r="F19" s="13" t="n">
        <x:v>46300</x:v>
      </x:c>
      <x:c r="G19" s="13" t="n">
        <x:v>46313</x:v>
      </x:c>
      <x:c r="H19" s="2"/>
      <x:c r="I19" s="3" t="str">
        <x:v>PLANNING BASIS
Detailed dates and new task allocations are proposals. Milestones follow the team’s strategy; confirm organizer requirements.</x:v>
      </x:c>
      <x:c r="J19" s="3" t="str">
        <x:v>PLANNING BASIS
Detailed dates and new task allocations are proposals. Milestones follow the team’s strategy; confirm organizer requirements.</x:v>
      </x:c>
      <x:c r="K19" s="3" t="str">
        <x:v>PLANNING BASIS
Detailed dates and new task allocations are proposals. Milestones follow the team’s strategy; confirm organizer requirements.</x:v>
      </x:c>
      <x:c r="L19" s="3" t="str">
        <x:v>PLANNING BASIS
Detailed dates and new task allocations are proposals. Milestones follow the team’s strategy; confirm organizer requirements.</x:v>
      </x:c>
      <x:c r="M19" s="3" t="str">
        <x:v>PLANNING BASIS
Detailed dates and new task allocations are proposals. Milestones follow the team’s strategy; confirm organizer requirements.</x:v>
      </x:c>
      <x:c r="N19" s="3" t="str">
        <x:v>PLANNING BASIS
Detailed dates and new task allocations are proposals. Milestones follow the team’s strategy; confirm organizer requirements.</x:v>
      </x:c>
      <x:c r="O19" s="3" t="str">
        <x:v>PLANNING BASIS
Detailed dates and new task allocations are proposals. Milestones follow the team’s strategy; confirm organizer requirements.</x:v>
      </x:c>
      <x:c r="P19" s="3" t="str">
        <x:v>PLANNING BASIS
Detailed dates and new task allocations are proposals. Milestones follow the team’s strategy; confirm organizer requirements.</x:v>
      </x:c>
      <x:c r="Q19" s="3" t="str">
        <x:v>PLANNING BASIS
Detailed dates and new task allocations are proposals. Milestones follow the team’s strategy; confirm organizer requirements.</x:v>
      </x:c>
      <x:c r="R19" s="3" t="str">
        <x:v>PLANNING BASIS
Detailed dates and new task allocations are proposals. Milestones follow the team’s strategy; confirm organizer requirements.</x:v>
      </x:c>
      <x:c r="S19" s="3" t="str">
        <x:v>PLANNING BASIS
Detailed dates and new task allocations are proposals. Milestones follow the team’s strategy; confirm organizer requirements.</x:v>
      </x:c>
      <x:c r="T19" s="3" t="str">
        <x:v>PLANNING BASIS
Detailed dates and new task allocations are proposals. Milestones follow the team’s strategy; confirm organizer requirements.</x:v>
      </x:c>
      <x:c r="U19" s="3" t="str">
        <x:v>PLANNING BASIS
Detailed dates and new task allocations are proposals. Milestones follow the team’s strategy; confirm organizer requirements.</x:v>
      </x:c>
      <x:c r="V19" s="3" t="str">
        <x:v>PLANNING BASIS
Detailed dates and new task allocations are proposals. Milestones follow the team’s strategy; confirm organizer requirements.</x:v>
      </x:c>
      <x:c r="W19" s="3" t="str">
        <x:v>PLANNING BASIS
Detailed dates and new task allocations are proposals. Milestones follow the team’s strategy; confirm organizer requirements.</x:v>
      </x:c>
      <x:c r="X19" s="3" t="str">
        <x:v>PLANNING BASIS
Detailed dates and new task allocations are proposals. Milestones follow the team’s strategy; confirm organizer requirements.</x:v>
      </x:c>
      <x:c r="Y19" s="3" t="str">
        <x:v>PLANNING BASIS
Detailed dates and new task allocations are proposals. Milestones follow the team’s strategy; confirm organizer requirements.</x:v>
      </x:c>
      <x:c r="Z19" s="3" t="str">
        <x:v>PLANNING BASIS
Detailed dates and new task allocations are proposals. Milestones follow the team’s strategy; confirm organizer requirements.</x:v>
      </x:c>
      <x:c r="AA19" s="3" t="str">
        <x:v>PLANNING BASIS
Detailed dates and new task allocations are proposals. Milestones follow the team’s strategy; confirm organizer requirements.</x:v>
      </x:c>
      <x:c r="AB19" s="3" t="str">
        <x:v>PLANNING BASIS
Detailed dates and new task allocations are proposals. Milestones follow the team’s strategy; confirm organizer requirements.</x:v>
      </x:c>
      <x:c r="AC19" s="3" t="str">
        <x:v>PLANNING BASIS
Detailed dates and new task allocations are proposals. Milestones follow the team’s strategy; confirm organizer requirements.</x:v>
      </x:c>
      <x:c r="AD19" s="3" t="str">
        <x:v>PLANNING BASIS
Detailed dates and new task allocations are proposals. Milestones follow the team’s strategy; confirm organizer requirements.</x:v>
      </x:c>
      <x:c r="AE19" s="3" t="str">
        <x:v>PLANNING BASIS
Detailed dates and new task allocations are proposals. Milestones follow the team’s strategy; confirm organizer requirements.</x:v>
      </x:c>
      <x:c r="AF19" s="3" t="str">
        <x:v>PLANNING BASIS
Detailed dates and new task allocations are proposals. Milestones follow the team’s strategy; confirm organizer requirements.</x:v>
      </x:c>
      <x:c r="AG19" s="3" t="str">
        <x:v>PLANNING BASIS
Detailed dates and new task allocations are proposals. Milestones follow the team’s strategy; confirm organizer requirements.</x:v>
      </x:c>
      <x:c r="AH19" s="3" t="str">
        <x:v>PLANNING BASIS
Detailed dates and new task allocations are proposals. Milestones follow the team’s strategy; confirm organizer requirements.</x:v>
      </x:c>
      <x:c r="AI19" s="3" t="str">
        <x:v>PLANNING BASIS
Detailed dates and new task allocations are proposals. Milestones follow the team’s strategy; confirm organizer requirements.</x:v>
      </x:c>
    </x:row>
    <x:row r="20" ht="43" customHeight="1">
      <x:c r="A20" s="19" t="str">
        <x:v>BRAND</x:v>
      </x:c>
      <x:c r="B20" s="3" t="str">
        <x:v>Source and prepare physical sample packaging</x:v>
      </x:c>
      <x:c r="C20" s="3" t="str">
        <x:v>Haziq, Faiz</x:v>
      </x:c>
      <x:c r="D20" s="3" t="n">
        <x:v>2</x:v>
      </x:c>
      <x:c r="E20" s="3" t="str">
        <x:v>Stay within budget; label as experimental sample.</x:v>
      </x:c>
      <x:c r="F20" s="11" t="n">
        <x:v>46300</x:v>
      </x:c>
      <x:c r="G20" s="11" t="n">
        <x:v>46313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</x:row>
    <x:row r="21" ht="43" customHeight="1">
      <x:c r="A21" s="17" t="str">
        <x:v>DISCOVERY</x:v>
      </x:c>
      <x:c r="B21" s="12" t="str">
        <x:v>Interview potential campus fertilizer users</x:v>
      </x:c>
      <x:c r="C21" s="12" t="str">
        <x:v>Iskandar, Faiz</x:v>
      </x:c>
      <x:c r="D21" s="12" t="n">
        <x:v>2</x:v>
      </x:c>
      <x:c r="E21" s="12" t="str">
        <x:v>Test interest, pack size and provisional RM15 price.</x:v>
      </x:c>
      <x:c r="F21" s="13" t="n">
        <x:v>46303</x:v>
      </x:c>
      <x:c r="G21" s="13" t="n">
        <x:v>46309</x:v>
      </x:c>
      <x:c r="H21" s="2"/>
      <x:c r="I21" s="3" t="str">
        <x:v>PILOT DEPENDENCY
No vendor or university approval is confirmed. Paid sales start only after participation and suitable operating arrangements are agreed.</x:v>
      </x:c>
      <x:c r="J21" s="3" t="str">
        <x:v>PILOT DEPENDENCY
No vendor or university approval is confirmed. Paid sales start only after participation and suitable operating arrangements are agreed.</x:v>
      </x:c>
      <x:c r="K21" s="3" t="str">
        <x:v>PILOT DEPENDENCY
No vendor or university approval is confirmed. Paid sales start only after participation and suitable operating arrangements are agreed.</x:v>
      </x:c>
      <x:c r="L21" s="3" t="str">
        <x:v>PILOT DEPENDENCY
No vendor or university approval is confirmed. Paid sales start only after participation and suitable operating arrangements are agreed.</x:v>
      </x:c>
      <x:c r="M21" s="3" t="str">
        <x:v>PILOT DEPENDENCY
No vendor or university approval is confirmed. Paid sales start only after participation and suitable operating arrangements are agreed.</x:v>
      </x:c>
      <x:c r="N21" s="3" t="str">
        <x:v>PILOT DEPENDENCY
No vendor or university approval is confirmed. Paid sales start only after participation and suitable operating arrangements are agreed.</x:v>
      </x:c>
      <x:c r="O21" s="3" t="str">
        <x:v>PILOT DEPENDENCY
No vendor or university approval is confirmed. Paid sales start only after participation and suitable operating arrangements are agreed.</x:v>
      </x:c>
      <x:c r="P21" s="3" t="str">
        <x:v>PILOT DEPENDENCY
No vendor or university approval is confirmed. Paid sales start only after participation and suitable operating arrangements are agreed.</x:v>
      </x:c>
      <x:c r="Q21" s="3" t="str">
        <x:v>PILOT DEPENDENCY
No vendor or university approval is confirmed. Paid sales start only after participation and suitable operating arrangements are agreed.</x:v>
      </x:c>
      <x:c r="R21" s="3" t="str">
        <x:v>PILOT DEPENDENCY
No vendor or university approval is confirmed. Paid sales start only after participation and suitable operating arrangements are agreed.</x:v>
      </x:c>
      <x:c r="S21" s="3" t="str">
        <x:v>PILOT DEPENDENCY
No vendor or university approval is confirmed. Paid sales start only after participation and suitable operating arrangements are agreed.</x:v>
      </x:c>
      <x:c r="T21" s="3" t="str">
        <x:v>PILOT DEPENDENCY
No vendor or university approval is confirmed. Paid sales start only after participation and suitable operating arrangements are agreed.</x:v>
      </x:c>
      <x:c r="U21" s="3" t="str">
        <x:v>PILOT DEPENDENCY
No vendor or university approval is confirmed. Paid sales start only after participation and suitable operating arrangements are agreed.</x:v>
      </x:c>
      <x:c r="V21" s="3" t="str">
        <x:v>PILOT DEPENDENCY
No vendor or university approval is confirmed. Paid sales start only after participation and suitable operating arrangements are agreed.</x:v>
      </x:c>
      <x:c r="W21" s="3" t="str">
        <x:v>PILOT DEPENDENCY
No vendor or university approval is confirmed. Paid sales start only after participation and suitable operating arrangements are agreed.</x:v>
      </x:c>
      <x:c r="X21" s="3" t="str">
        <x:v>PILOT DEPENDENCY
No vendor or university approval is confirmed. Paid sales start only after participation and suitable operating arrangements are agreed.</x:v>
      </x:c>
      <x:c r="Y21" s="3" t="str">
        <x:v>PILOT DEPENDENCY
No vendor or university approval is confirmed. Paid sales start only after participation and suitable operating arrangements are agreed.</x:v>
      </x:c>
      <x:c r="Z21" s="3" t="str">
        <x:v>PILOT DEPENDENCY
No vendor or university approval is confirmed. Paid sales start only after participation and suitable operating arrangements are agreed.</x:v>
      </x:c>
      <x:c r="AA21" s="3" t="str">
        <x:v>PILOT DEPENDENCY
No vendor or university approval is confirmed. Paid sales start only after participation and suitable operating arrangements are agreed.</x:v>
      </x:c>
      <x:c r="AB21" s="3" t="str">
        <x:v>PILOT DEPENDENCY
No vendor or university approval is confirmed. Paid sales start only after participation and suitable operating arrangements are agreed.</x:v>
      </x:c>
      <x:c r="AC21" s="3" t="str">
        <x:v>PILOT DEPENDENCY
No vendor or university approval is confirmed. Paid sales start only after participation and suitable operating arrangements are agreed.</x:v>
      </x:c>
      <x:c r="AD21" s="3" t="str">
        <x:v>PILOT DEPENDENCY
No vendor or university approval is confirmed. Paid sales start only after participation and suitable operating arrangements are agreed.</x:v>
      </x:c>
      <x:c r="AE21" s="3" t="str">
        <x:v>PILOT DEPENDENCY
No vendor or university approval is confirmed. Paid sales start only after participation and suitable operating arrangements are agreed.</x:v>
      </x:c>
      <x:c r="AF21" s="3" t="str">
        <x:v>PILOT DEPENDENCY
No vendor or university approval is confirmed. Paid sales start only after participation and suitable operating arrangements are agreed.</x:v>
      </x:c>
      <x:c r="AG21" s="3" t="str">
        <x:v>PILOT DEPENDENCY
No vendor or university approval is confirmed. Paid sales start only after participation and suitable operating arrangements are agreed.</x:v>
      </x:c>
      <x:c r="AH21" s="3" t="str">
        <x:v>PILOT DEPENDENCY
No vendor or university approval is confirmed. Paid sales start only after participation and suitable operating arrangements are agreed.</x:v>
      </x:c>
      <x:c r="AI21" s="3" t="str">
        <x:v>PILOT DEPENDENCY
No vendor or university approval is confirmed. Paid sales start only after participation and suitable operating arrangements are agreed.</x:v>
      </x:c>
    </x:row>
    <x:row r="22" ht="43" customHeight="1">
      <x:c r="A22" s="27" t="str">
        <x:v>PITCH</x:v>
      </x:c>
      <x:c r="B22" s="3" t="str">
        <x:v>Draft and design evidence-based pitch deck</x:v>
      </x:c>
      <x:c r="C22" s="3" t="str">
        <x:v>Iskandar, Haziq</x:v>
      </x:c>
      <x:c r="D22" s="3" t="n">
        <x:v>2</x:v>
      </x:c>
      <x:c r="E22" s="3" t="str">
        <x:v>Distinguish results from assumptions and future plans.</x:v>
      </x:c>
      <x:c r="F22" s="11" t="n">
        <x:v>46300</x:v>
      </x:c>
      <x:c r="G22" s="11" t="n">
        <x:v>46313</x:v>
      </x:c>
      <x:c r="H22" s="2"/>
      <x:c r="I22" s="3" t="str">
        <x:v>PILOT DEPENDENCY
No vendor or university approval is confirmed. Paid sales start only after participation and suitable operating arrangements are agreed.</x:v>
      </x:c>
      <x:c r="J22" s="3" t="str">
        <x:v>PILOT DEPENDENCY
No vendor or university approval is confirmed. Paid sales start only after participation and suitable operating arrangements are agreed.</x:v>
      </x:c>
      <x:c r="K22" s="3" t="str">
        <x:v>PILOT DEPENDENCY
No vendor or university approval is confirmed. Paid sales start only after participation and suitable operating arrangements are agreed.</x:v>
      </x:c>
      <x:c r="L22" s="3" t="str">
        <x:v>PILOT DEPENDENCY
No vendor or university approval is confirmed. Paid sales start only after participation and suitable operating arrangements are agreed.</x:v>
      </x:c>
      <x:c r="M22" s="3" t="str">
        <x:v>PILOT DEPENDENCY
No vendor or university approval is confirmed. Paid sales start only after participation and suitable operating arrangements are agreed.</x:v>
      </x:c>
      <x:c r="N22" s="3" t="str">
        <x:v>PILOT DEPENDENCY
No vendor or university approval is confirmed. Paid sales start only after participation and suitable operating arrangements are agreed.</x:v>
      </x:c>
      <x:c r="O22" s="3" t="str">
        <x:v>PILOT DEPENDENCY
No vendor or university approval is confirmed. Paid sales start only after participation and suitable operating arrangements are agreed.</x:v>
      </x:c>
      <x:c r="P22" s="3" t="str">
        <x:v>PILOT DEPENDENCY
No vendor or university approval is confirmed. Paid sales start only after participation and suitable operating arrangements are agreed.</x:v>
      </x:c>
      <x:c r="Q22" s="3" t="str">
        <x:v>PILOT DEPENDENCY
No vendor or university approval is confirmed. Paid sales start only after participation and suitable operating arrangements are agreed.</x:v>
      </x:c>
      <x:c r="R22" s="3" t="str">
        <x:v>PILOT DEPENDENCY
No vendor or university approval is confirmed. Paid sales start only after participation and suitable operating arrangements are agreed.</x:v>
      </x:c>
      <x:c r="S22" s="3" t="str">
        <x:v>PILOT DEPENDENCY
No vendor or university approval is confirmed. Paid sales start only after participation and suitable operating arrangements are agreed.</x:v>
      </x:c>
      <x:c r="T22" s="3" t="str">
        <x:v>PILOT DEPENDENCY
No vendor or university approval is confirmed. Paid sales start only after participation and suitable operating arrangements are agreed.</x:v>
      </x:c>
      <x:c r="U22" s="3" t="str">
        <x:v>PILOT DEPENDENCY
No vendor or university approval is confirmed. Paid sales start only after participation and suitable operating arrangements are agreed.</x:v>
      </x:c>
      <x:c r="V22" s="3" t="str">
        <x:v>PILOT DEPENDENCY
No vendor or university approval is confirmed. Paid sales start only after participation and suitable operating arrangements are agreed.</x:v>
      </x:c>
      <x:c r="W22" s="3" t="str">
        <x:v>PILOT DEPENDENCY
No vendor or university approval is confirmed. Paid sales start only after participation and suitable operating arrangements are agreed.</x:v>
      </x:c>
      <x:c r="X22" s="3" t="str">
        <x:v>PILOT DEPENDENCY
No vendor or university approval is confirmed. Paid sales start only after participation and suitable operating arrangements are agreed.</x:v>
      </x:c>
      <x:c r="Y22" s="3" t="str">
        <x:v>PILOT DEPENDENCY
No vendor or university approval is confirmed. Paid sales start only after participation and suitable operating arrangements are agreed.</x:v>
      </x:c>
      <x:c r="Z22" s="3" t="str">
        <x:v>PILOT DEPENDENCY
No vendor or university approval is confirmed. Paid sales start only after participation and suitable operating arrangements are agreed.</x:v>
      </x:c>
      <x:c r="AA22" s="3" t="str">
        <x:v>PILOT DEPENDENCY
No vendor or university approval is confirmed. Paid sales start only after participation and suitable operating arrangements are agreed.</x:v>
      </x:c>
      <x:c r="AB22" s="3" t="str">
        <x:v>PILOT DEPENDENCY
No vendor or university approval is confirmed. Paid sales start only after participation and suitable operating arrangements are agreed.</x:v>
      </x:c>
      <x:c r="AC22" s="3" t="str">
        <x:v>PILOT DEPENDENCY
No vendor or university approval is confirmed. Paid sales start only after participation and suitable operating arrangements are agreed.</x:v>
      </x:c>
      <x:c r="AD22" s="3" t="str">
        <x:v>PILOT DEPENDENCY
No vendor or university approval is confirmed. Paid sales start only after participation and suitable operating arrangements are agreed.</x:v>
      </x:c>
      <x:c r="AE22" s="3" t="str">
        <x:v>PILOT DEPENDENCY
No vendor or university approval is confirmed. Paid sales start only after participation and suitable operating arrangements are agreed.</x:v>
      </x:c>
      <x:c r="AF22" s="3" t="str">
        <x:v>PILOT DEPENDENCY
No vendor or university approval is confirmed. Paid sales start only after participation and suitable operating arrangements are agreed.</x:v>
      </x:c>
      <x:c r="AG22" s="3" t="str">
        <x:v>PILOT DEPENDENCY
No vendor or university approval is confirmed. Paid sales start only after participation and suitable operating arrangements are agreed.</x:v>
      </x:c>
      <x:c r="AH22" s="3" t="str">
        <x:v>PILOT DEPENDENCY
No vendor or university approval is confirmed. Paid sales start only after participation and suitable operating arrangements are agreed.</x:v>
      </x:c>
      <x:c r="AI22" s="3" t="str">
        <x:v>PILOT DEPENDENCY
No vendor or university approval is confirmed. Paid sales start only after participation and suitable operating arrangements are agreed.</x:v>
      </x:c>
    </x:row>
    <x:row r="23" ht="43" customHeight="1">
      <x:c r="A23" s="29" t="str">
        <x:v>MILESTONE</x:v>
      </x:c>
      <x:c r="B23" s="12" t="str">
        <x:v>Registration deadline</x:v>
      </x:c>
      <x:c r="C23" s="12" t="str">
        <x:v>Iskandar</x:v>
      </x:c>
      <x:c r="D23" s="12" t="n">
        <x:v>1</x:v>
      </x:c>
      <x:c r="E23" s="12" t="str">
        <x:v>Team-reported deadline; confirm with organizer.</x:v>
      </x:c>
      <x:c r="F23" s="13" t="n">
        <x:v>46304</x:v>
      </x:c>
      <x:c r="G23" s="13" t="n">
        <x:v>46304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</x:row>
    <x:row r="24" ht="43" customHeight="1">
      <x:c r="A24" s="31" t="str">
        <x:v>REVIEW</x:v>
      </x:c>
      <x:c r="B24" s="3" t="str">
        <x:v>Review pilot costs, sales and experiment evidence</x:v>
      </x:c>
      <x:c r="C24" s="3" t="str">
        <x:v>All</x:v>
      </x:c>
      <x:c r="D24" s="3" t="n">
        <x:v>4</x:v>
      </x:c>
      <x:c r="E24" s="3" t="str">
        <x:v>Measure completed purchases; document sample limitations.</x:v>
      </x:c>
      <x:c r="F24" s="11" t="n">
        <x:v>46311</x:v>
      </x:c>
      <x:c r="G24" s="11" t="n">
        <x:v>46313</x:v>
      </x:c>
      <x:c r="H24" s="2"/>
      <x:c r="I24" s="3" t="str">
        <x:v>EXPERIMENT BOUNDARY
Purchased materials, experimental sample and physical packaging only. Method and duration remain undecided; no immediate fertilizer sales.</x:v>
      </x:c>
      <x:c r="J24" s="3" t="str">
        <x:v>EXPERIMENT BOUNDARY
Purchased materials, experimental sample and physical packaging only. Method and duration remain undecided; no immediate fertilizer sales.</x:v>
      </x:c>
      <x:c r="K24" s="3" t="str">
        <x:v>EXPERIMENT BOUNDARY
Purchased materials, experimental sample and physical packaging only. Method and duration remain undecided; no immediate fertilizer sales.</x:v>
      </x:c>
      <x:c r="L24" s="3" t="str">
        <x:v>EXPERIMENT BOUNDARY
Purchased materials, experimental sample and physical packaging only. Method and duration remain undecided; no immediate fertilizer sales.</x:v>
      </x:c>
      <x:c r="M24" s="3" t="str">
        <x:v>EXPERIMENT BOUNDARY
Purchased materials, experimental sample and physical packaging only. Method and duration remain undecided; no immediate fertilizer sales.</x:v>
      </x:c>
      <x:c r="N24" s="3" t="str">
        <x:v>EXPERIMENT BOUNDARY
Purchased materials, experimental sample and physical packaging only. Method and duration remain undecided; no immediate fertilizer sales.</x:v>
      </x:c>
      <x:c r="O24" s="3" t="str">
        <x:v>EXPERIMENT BOUNDARY
Purchased materials, experimental sample and physical packaging only. Method and duration remain undecided; no immediate fertilizer sales.</x:v>
      </x:c>
      <x:c r="P24" s="3" t="str">
        <x:v>EXPERIMENT BOUNDARY
Purchased materials, experimental sample and physical packaging only. Method and duration remain undecided; no immediate fertilizer sales.</x:v>
      </x:c>
      <x:c r="Q24" s="3" t="str">
        <x:v>EXPERIMENT BOUNDARY
Purchased materials, experimental sample and physical packaging only. Method and duration remain undecided; no immediate fertilizer sales.</x:v>
      </x:c>
      <x:c r="R24" s="3" t="str">
        <x:v>EXPERIMENT BOUNDARY
Purchased materials, experimental sample and physical packaging only. Method and duration remain undecided; no immediate fertilizer sales.</x:v>
      </x:c>
      <x:c r="S24" s="3" t="str">
        <x:v>EXPERIMENT BOUNDARY
Purchased materials, experimental sample and physical packaging only. Method and duration remain undecided; no immediate fertilizer sales.</x:v>
      </x:c>
      <x:c r="T24" s="3" t="str">
        <x:v>EXPERIMENT BOUNDARY
Purchased materials, experimental sample and physical packaging only. Method and duration remain undecided; no immediate fertilizer sales.</x:v>
      </x:c>
      <x:c r="U24" s="3" t="str">
        <x:v>EXPERIMENT BOUNDARY
Purchased materials, experimental sample and physical packaging only. Method and duration remain undecided; no immediate fertilizer sales.</x:v>
      </x:c>
      <x:c r="V24" s="3" t="str">
        <x:v>EXPERIMENT BOUNDARY
Purchased materials, experimental sample and physical packaging only. Method and duration remain undecided; no immediate fertilizer sales.</x:v>
      </x:c>
      <x:c r="W24" s="3" t="str">
        <x:v>EXPERIMENT BOUNDARY
Purchased materials, experimental sample and physical packaging only. Method and duration remain undecided; no immediate fertilizer sales.</x:v>
      </x:c>
      <x:c r="X24" s="3" t="str">
        <x:v>EXPERIMENT BOUNDARY
Purchased materials, experimental sample and physical packaging only. Method and duration remain undecided; no immediate fertilizer sales.</x:v>
      </x:c>
      <x:c r="Y24" s="3" t="str">
        <x:v>EXPERIMENT BOUNDARY
Purchased materials, experimental sample and physical packaging only. Method and duration remain undecided; no immediate fertilizer sales.</x:v>
      </x:c>
      <x:c r="Z24" s="3" t="str">
        <x:v>EXPERIMENT BOUNDARY
Purchased materials, experimental sample and physical packaging only. Method and duration remain undecided; no immediate fertilizer sales.</x:v>
      </x:c>
      <x:c r="AA24" s="3" t="str">
        <x:v>EXPERIMENT BOUNDARY
Purchased materials, experimental sample and physical packaging only. Method and duration remain undecided; no immediate fertilizer sales.</x:v>
      </x:c>
      <x:c r="AB24" s="3" t="str">
        <x:v>EXPERIMENT BOUNDARY
Purchased materials, experimental sample and physical packaging only. Method and duration remain undecided; no immediate fertilizer sales.</x:v>
      </x:c>
      <x:c r="AC24" s="3" t="str">
        <x:v>EXPERIMENT BOUNDARY
Purchased materials, experimental sample and physical packaging only. Method and duration remain undecided; no immediate fertilizer sales.</x:v>
      </x:c>
      <x:c r="AD24" s="3" t="str">
        <x:v>EXPERIMENT BOUNDARY
Purchased materials, experimental sample and physical packaging only. Method and duration remain undecided; no immediate fertilizer sales.</x:v>
      </x:c>
      <x:c r="AE24" s="3" t="str">
        <x:v>EXPERIMENT BOUNDARY
Purchased materials, experimental sample and physical packaging only. Method and duration remain undecided; no immediate fertilizer sales.</x:v>
      </x:c>
      <x:c r="AF24" s="3" t="str">
        <x:v>EXPERIMENT BOUNDARY
Purchased materials, experimental sample and physical packaging only. Method and duration remain undecided; no immediate fertilizer sales.</x:v>
      </x:c>
      <x:c r="AG24" s="3" t="str">
        <x:v>EXPERIMENT BOUNDARY
Purchased materials, experimental sample and physical packaging only. Method and duration remain undecided; no immediate fertilizer sales.</x:v>
      </x:c>
      <x:c r="AH24" s="3" t="str">
        <x:v>EXPERIMENT BOUNDARY
Purchased materials, experimental sample and physical packaging only. Method and duration remain undecided; no immediate fertilizer sales.</x:v>
      </x:c>
      <x:c r="AI24" s="3" t="str">
        <x:v>EXPERIMENT BOUNDARY
Purchased materials, experimental sample and physical packaging only. Method and duration remain undecided; no immediate fertilizer sales.</x:v>
      </x:c>
    </x:row>
    <x:row r="25" ht="43" customHeight="1">
      <x:c r="A25" s="29" t="str">
        <x:v>MILESTONE</x:v>
      </x:c>
      <x:c r="B25" s="12" t="str">
        <x:v>MVP and competition evidence readiness</x:v>
      </x:c>
      <x:c r="C25" s="12" t="str">
        <x:v>All</x:v>
      </x:c>
      <x:c r="D25" s="12" t="n">
        <x:v>4</x:v>
      </x:c>
      <x:c r="E25" s="12" t="str">
        <x:v>Target: demo, paid purchases, experiment record, packaging.</x:v>
      </x:c>
      <x:c r="F25" s="13" t="n">
        <x:v>46313</x:v>
      </x:c>
      <x:c r="G25" s="13" t="n">
        <x:v>46313</x:v>
      </x:c>
      <x:c r="H25" s="2"/>
      <x:c r="I25" s="3" t="str">
        <x:v>EXPERIMENT BOUNDARY
Purchased materials, experimental sample and physical packaging only. Method and duration remain undecided; no immediate fertilizer sales.</x:v>
      </x:c>
      <x:c r="J25" s="3" t="str">
        <x:v>EXPERIMENT BOUNDARY
Purchased materials, experimental sample and physical packaging only. Method and duration remain undecided; no immediate fertilizer sales.</x:v>
      </x:c>
      <x:c r="K25" s="3" t="str">
        <x:v>EXPERIMENT BOUNDARY
Purchased materials, experimental sample and physical packaging only. Method and duration remain undecided; no immediate fertilizer sales.</x:v>
      </x:c>
      <x:c r="L25" s="3" t="str">
        <x:v>EXPERIMENT BOUNDARY
Purchased materials, experimental sample and physical packaging only. Method and duration remain undecided; no immediate fertilizer sales.</x:v>
      </x:c>
      <x:c r="M25" s="3" t="str">
        <x:v>EXPERIMENT BOUNDARY
Purchased materials, experimental sample and physical packaging only. Method and duration remain undecided; no immediate fertilizer sales.</x:v>
      </x:c>
      <x:c r="N25" s="3" t="str">
        <x:v>EXPERIMENT BOUNDARY
Purchased materials, experimental sample and physical packaging only. Method and duration remain undecided; no immediate fertilizer sales.</x:v>
      </x:c>
      <x:c r="O25" s="3" t="str">
        <x:v>EXPERIMENT BOUNDARY
Purchased materials, experimental sample and physical packaging only. Method and duration remain undecided; no immediate fertilizer sales.</x:v>
      </x:c>
      <x:c r="P25" s="3" t="str">
        <x:v>EXPERIMENT BOUNDARY
Purchased materials, experimental sample and physical packaging only. Method and duration remain undecided; no immediate fertilizer sales.</x:v>
      </x:c>
      <x:c r="Q25" s="3" t="str">
        <x:v>EXPERIMENT BOUNDARY
Purchased materials, experimental sample and physical packaging only. Method and duration remain undecided; no immediate fertilizer sales.</x:v>
      </x:c>
      <x:c r="R25" s="3" t="str">
        <x:v>EXPERIMENT BOUNDARY
Purchased materials, experimental sample and physical packaging only. Method and duration remain undecided; no immediate fertilizer sales.</x:v>
      </x:c>
      <x:c r="S25" s="3" t="str">
        <x:v>EXPERIMENT BOUNDARY
Purchased materials, experimental sample and physical packaging only. Method and duration remain undecided; no immediate fertilizer sales.</x:v>
      </x:c>
      <x:c r="T25" s="3" t="str">
        <x:v>EXPERIMENT BOUNDARY
Purchased materials, experimental sample and physical packaging only. Method and duration remain undecided; no immediate fertilizer sales.</x:v>
      </x:c>
      <x:c r="U25" s="3" t="str">
        <x:v>EXPERIMENT BOUNDARY
Purchased materials, experimental sample and physical packaging only. Method and duration remain undecided; no immediate fertilizer sales.</x:v>
      </x:c>
      <x:c r="V25" s="3" t="str">
        <x:v>EXPERIMENT BOUNDARY
Purchased materials, experimental sample and physical packaging only. Method and duration remain undecided; no immediate fertilizer sales.</x:v>
      </x:c>
      <x:c r="W25" s="3" t="str">
        <x:v>EXPERIMENT BOUNDARY
Purchased materials, experimental sample and physical packaging only. Method and duration remain undecided; no immediate fertilizer sales.</x:v>
      </x:c>
      <x:c r="X25" s="3" t="str">
        <x:v>EXPERIMENT BOUNDARY
Purchased materials, experimental sample and physical packaging only. Method and duration remain undecided; no immediate fertilizer sales.</x:v>
      </x:c>
      <x:c r="Y25" s="3" t="str">
        <x:v>EXPERIMENT BOUNDARY
Purchased materials, experimental sample and physical packaging only. Method and duration remain undecided; no immediate fertilizer sales.</x:v>
      </x:c>
      <x:c r="Z25" s="3" t="str">
        <x:v>EXPERIMENT BOUNDARY
Purchased materials, experimental sample and physical packaging only. Method and duration remain undecided; no immediate fertilizer sales.</x:v>
      </x:c>
      <x:c r="AA25" s="3" t="str">
        <x:v>EXPERIMENT BOUNDARY
Purchased materials, experimental sample and physical packaging only. Method and duration remain undecided; no immediate fertilizer sales.</x:v>
      </x:c>
      <x:c r="AB25" s="3" t="str">
        <x:v>EXPERIMENT BOUNDARY
Purchased materials, experimental sample and physical packaging only. Method and duration remain undecided; no immediate fertilizer sales.</x:v>
      </x:c>
      <x:c r="AC25" s="3" t="str">
        <x:v>EXPERIMENT BOUNDARY
Purchased materials, experimental sample and physical packaging only. Method and duration remain undecided; no immediate fertilizer sales.</x:v>
      </x:c>
      <x:c r="AD25" s="3" t="str">
        <x:v>EXPERIMENT BOUNDARY
Purchased materials, experimental sample and physical packaging only. Method and duration remain undecided; no immediate fertilizer sales.</x:v>
      </x:c>
      <x:c r="AE25" s="3" t="str">
        <x:v>EXPERIMENT BOUNDARY
Purchased materials, experimental sample and physical packaging only. Method and duration remain undecided; no immediate fertilizer sales.</x:v>
      </x:c>
      <x:c r="AF25" s="3" t="str">
        <x:v>EXPERIMENT BOUNDARY
Purchased materials, experimental sample and physical packaging only. Method and duration remain undecided; no immediate fertilizer sales.</x:v>
      </x:c>
      <x:c r="AG25" s="3" t="str">
        <x:v>EXPERIMENT BOUNDARY
Purchased materials, experimental sample and physical packaging only. Method and duration remain undecided; no immediate fertilizer sales.</x:v>
      </x:c>
      <x:c r="AH25" s="3" t="str">
        <x:v>EXPERIMENT BOUNDARY
Purchased materials, experimental sample and physical packaging only. Method and duration remain undecided; no immediate fertilizer sales.</x:v>
      </x:c>
      <x:c r="AI25" s="3" t="str">
        <x:v>EXPERIMENT BOUNDARY
Purchased materials, experimental sample and physical packaging only. Method and duration remain undecided; no immediate fertilizer sales.</x:v>
      </x:c>
    </x:row>
    <x:row r="26" ht="43" customHeight="1">
      <x:c r="A26" s="25" t="str">
        <x:v>PILOT</x:v>
      </x:c>
      <x:c r="B26" s="3" t="str">
        <x:v>Move reservations to app when ready</x:v>
      </x:c>
      <x:c r="C26" s="3" t="str">
        <x:v>Muaz, Iskandar</x:v>
      </x:c>
      <x:c r="D26" s="3" t="n">
        <x:v>2</x:v>
      </x:c>
      <x:c r="E26" s="3" t="str">
        <x:v>Telegram becomes promotion; weekly settlement once reliable.</x:v>
      </x:c>
      <x:c r="F26" s="11" t="n">
        <x:v>46314</x:v>
      </x:c>
      <x:c r="G26" s="11" t="n">
        <x:v>46317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</x:row>
    <x:row r="27" ht="43" customHeight="1">
      <x:c r="A27" s="27" t="str">
        <x:v>PITCH</x:v>
      </x:c>
      <x:c r="B27" s="12" t="str">
        <x:v>Record and edit online pitching video</x:v>
      </x:c>
      <x:c r="C27" s="12" t="str">
        <x:v>All</x:v>
      </x:c>
      <x:c r="D27" s="12" t="n">
        <x:v>4</x:v>
      </x:c>
      <x:c r="E27" s="12" t="str">
        <x:v>Haziq leads editing; use verified pilot evidence.</x:v>
      </x:c>
      <x:c r="F27" s="13" t="n">
        <x:v>46314</x:v>
      </x:c>
      <x:c r="G27" s="13" t="n">
        <x:v>46317</x:v>
      </x:c>
      <x:c r="H27" s="2"/>
      <x:c r="I27" s="3" t="str">
        <x:v>AFTER THE COMPETITION — UNSCHEDULED
Discuss UNITEN support, waste storage and processing space, collection assistance, product validation and sustainable costs before expansion.</x:v>
      </x:c>
      <x:c r="J27" s="3" t="str">
        <x:v>AFTER THE COMPETITION — UNSCHEDULED
Discuss UNITEN support, waste storage and processing space, collection assistance, product validation and sustainable costs before expansion.</x:v>
      </x:c>
      <x:c r="K27" s="3" t="str">
        <x:v>AFTER THE COMPETITION — UNSCHEDULED
Discuss UNITEN support, waste storage and processing space, collection assistance, product validation and sustainable costs before expansion.</x:v>
      </x:c>
      <x:c r="L27" s="3" t="str">
        <x:v>AFTER THE COMPETITION — UNSCHEDULED
Discuss UNITEN support, waste storage and processing space, collection assistance, product validation and sustainable costs before expansion.</x:v>
      </x:c>
      <x:c r="M27" s="3" t="str">
        <x:v>AFTER THE COMPETITION — UNSCHEDULED
Discuss UNITEN support, waste storage and processing space, collection assistance, product validation and sustainable costs before expansion.</x:v>
      </x:c>
      <x:c r="N27" s="3" t="str">
        <x:v>AFTER THE COMPETITION — UNSCHEDULED
Discuss UNITEN support, waste storage and processing space, collection assistance, product validation and sustainable costs before expansion.</x:v>
      </x:c>
      <x:c r="O27" s="3" t="str">
        <x:v>AFTER THE COMPETITION — UNSCHEDULED
Discuss UNITEN support, waste storage and processing space, collection assistance, product validation and sustainable costs before expansion.</x:v>
      </x:c>
      <x:c r="P27" s="3" t="str">
        <x:v>AFTER THE COMPETITION — UNSCHEDULED
Discuss UNITEN support, waste storage and processing space, collection assistance, product validation and sustainable costs before expansion.</x:v>
      </x:c>
      <x:c r="Q27" s="3" t="str">
        <x:v>AFTER THE COMPETITION — UNSCHEDULED
Discuss UNITEN support, waste storage and processing space, collection assistance, product validation and sustainable costs before expansion.</x:v>
      </x:c>
      <x:c r="R27" s="3" t="str">
        <x:v>AFTER THE COMPETITION — UNSCHEDULED
Discuss UNITEN support, waste storage and processing space, collection assistance, product validation and sustainable costs before expansion.</x:v>
      </x:c>
      <x:c r="S27" s="3" t="str">
        <x:v>AFTER THE COMPETITION — UNSCHEDULED
Discuss UNITEN support, waste storage and processing space, collection assistance, product validation and sustainable costs before expansion.</x:v>
      </x:c>
      <x:c r="T27" s="3" t="str">
        <x:v>AFTER THE COMPETITION — UNSCHEDULED
Discuss UNITEN support, waste storage and processing space, collection assistance, product validation and sustainable costs before expansion.</x:v>
      </x:c>
      <x:c r="U27" s="3" t="str">
        <x:v>AFTER THE COMPETITION — UNSCHEDULED
Discuss UNITEN support, waste storage and processing space, collection assistance, product validation and sustainable costs before expansion.</x:v>
      </x:c>
      <x:c r="V27" s="3" t="str">
        <x:v>AFTER THE COMPETITION — UNSCHEDULED
Discuss UNITEN support, waste storage and processing space, collection assistance, product validation and sustainable costs before expansion.</x:v>
      </x:c>
      <x:c r="W27" s="3" t="str">
        <x:v>AFTER THE COMPETITION — UNSCHEDULED
Discuss UNITEN support, waste storage and processing space, collection assistance, product validation and sustainable costs before expansion.</x:v>
      </x:c>
      <x:c r="X27" s="3" t="str">
        <x:v>AFTER THE COMPETITION — UNSCHEDULED
Discuss UNITEN support, waste storage and processing space, collection assistance, product validation and sustainable costs before expansion.</x:v>
      </x:c>
      <x:c r="Y27" s="3" t="str">
        <x:v>AFTER THE COMPETITION — UNSCHEDULED
Discuss UNITEN support, waste storage and processing space, collection assistance, product validation and sustainable costs before expansion.</x:v>
      </x:c>
      <x:c r="Z27" s="3" t="str">
        <x:v>AFTER THE COMPETITION — UNSCHEDULED
Discuss UNITEN support, waste storage and processing space, collection assistance, product validation and sustainable costs before expansion.</x:v>
      </x:c>
      <x:c r="AA27" s="3" t="str">
        <x:v>AFTER THE COMPETITION — UNSCHEDULED
Discuss UNITEN support, waste storage and processing space, collection assistance, product validation and sustainable costs before expansion.</x:v>
      </x:c>
      <x:c r="AB27" s="3" t="str">
        <x:v>AFTER THE COMPETITION — UNSCHEDULED
Discuss UNITEN support, waste storage and processing space, collection assistance, product validation and sustainable costs before expansion.</x:v>
      </x:c>
      <x:c r="AC27" s="3" t="str">
        <x:v>AFTER THE COMPETITION — UNSCHEDULED
Discuss UNITEN support, waste storage and processing space, collection assistance, product validation and sustainable costs before expansion.</x:v>
      </x:c>
      <x:c r="AD27" s="3" t="str">
        <x:v>AFTER THE COMPETITION — UNSCHEDULED
Discuss UNITEN support, waste storage and processing space, collection assistance, product validation and sustainable costs before expansion.</x:v>
      </x:c>
      <x:c r="AE27" s="3" t="str">
        <x:v>AFTER THE COMPETITION — UNSCHEDULED
Discuss UNITEN support, waste storage and processing space, collection assistance, product validation and sustainable costs before expansion.</x:v>
      </x:c>
      <x:c r="AF27" s="3" t="str">
        <x:v>AFTER THE COMPETITION — UNSCHEDULED
Discuss UNITEN support, waste storage and processing space, collection assistance, product validation and sustainable costs before expansion.</x:v>
      </x:c>
      <x:c r="AG27" s="3" t="str">
        <x:v>AFTER THE COMPETITION — UNSCHEDULED
Discuss UNITEN support, waste storage and processing space, collection assistance, product validation and sustainable costs before expansion.</x:v>
      </x:c>
      <x:c r="AH27" s="3" t="str">
        <x:v>AFTER THE COMPETITION — UNSCHEDULED
Discuss UNITEN support, waste storage and processing space, collection assistance, product validation and sustainable costs before expansion.</x:v>
      </x:c>
      <x:c r="AI27" s="3" t="str">
        <x:v>AFTER THE COMPETITION — UNSCHEDULED
Discuss UNITEN support, waste storage and processing space, collection assistance, product validation and sustainable costs before expansion.</x:v>
      </x:c>
    </x:row>
    <x:row r="28" ht="43" customHeight="1">
      <x:c r="A28" s="29" t="str">
        <x:v>MILESTONE</x:v>
      </x:c>
      <x:c r="B28" s="3" t="str">
        <x:v>Briefing and online pitch submission</x:v>
      </x:c>
      <x:c r="C28" s="3" t="str">
        <x:v>All</x:v>
      </x:c>
      <x:c r="D28" s="3" t="n">
        <x:v>4</x:v>
      </x:c>
      <x:c r="E28" s="3" t="str">
        <x:v>23 Oct milestone supplied by team.</x:v>
      </x:c>
      <x:c r="F28" s="11" t="n">
        <x:v>46318</x:v>
      </x:c>
      <x:c r="G28" s="11" t="n">
        <x:v>46318</x:v>
      </x:c>
      <x:c r="H28" s="2"/>
      <x:c r="I28" s="3" t="str">
        <x:v>AFTER THE COMPETITION — UNSCHEDULED
Discuss UNITEN support, waste storage and processing space, collection assistance, product validation and sustainable costs before expansion.</x:v>
      </x:c>
      <x:c r="J28" s="3" t="str">
        <x:v>AFTER THE COMPETITION — UNSCHEDULED
Discuss UNITEN support, waste storage and processing space, collection assistance, product validation and sustainable costs before expansion.</x:v>
      </x:c>
      <x:c r="K28" s="3" t="str">
        <x:v>AFTER THE COMPETITION — UNSCHEDULED
Discuss UNITEN support, waste storage and processing space, collection assistance, product validation and sustainable costs before expansion.</x:v>
      </x:c>
      <x:c r="L28" s="3" t="str">
        <x:v>AFTER THE COMPETITION — UNSCHEDULED
Discuss UNITEN support, waste storage and processing space, collection assistance, product validation and sustainable costs before expansion.</x:v>
      </x:c>
      <x:c r="M28" s="3" t="str">
        <x:v>AFTER THE COMPETITION — UNSCHEDULED
Discuss UNITEN support, waste storage and processing space, collection assistance, product validation and sustainable costs before expansion.</x:v>
      </x:c>
      <x:c r="N28" s="3" t="str">
        <x:v>AFTER THE COMPETITION — UNSCHEDULED
Discuss UNITEN support, waste storage and processing space, collection assistance, product validation and sustainable costs before expansion.</x:v>
      </x:c>
      <x:c r="O28" s="3" t="str">
        <x:v>AFTER THE COMPETITION — UNSCHEDULED
Discuss UNITEN support, waste storage and processing space, collection assistance, product validation and sustainable costs before expansion.</x:v>
      </x:c>
      <x:c r="P28" s="3" t="str">
        <x:v>AFTER THE COMPETITION — UNSCHEDULED
Discuss UNITEN support, waste storage and processing space, collection assistance, product validation and sustainable costs before expansion.</x:v>
      </x:c>
      <x:c r="Q28" s="3" t="str">
        <x:v>AFTER THE COMPETITION — UNSCHEDULED
Discuss UNITEN support, waste storage and processing space, collection assistance, product validation and sustainable costs before expansion.</x:v>
      </x:c>
      <x:c r="R28" s="3" t="str">
        <x:v>AFTER THE COMPETITION — UNSCHEDULED
Discuss UNITEN support, waste storage and processing space, collection assistance, product validation and sustainable costs before expansion.</x:v>
      </x:c>
      <x:c r="S28" s="3" t="str">
        <x:v>AFTER THE COMPETITION — UNSCHEDULED
Discuss UNITEN support, waste storage and processing space, collection assistance, product validation and sustainable costs before expansion.</x:v>
      </x:c>
      <x:c r="T28" s="3" t="str">
        <x:v>AFTER THE COMPETITION — UNSCHEDULED
Discuss UNITEN support, waste storage and processing space, collection assistance, product validation and sustainable costs before expansion.</x:v>
      </x:c>
      <x:c r="U28" s="3" t="str">
        <x:v>AFTER THE COMPETITION — UNSCHEDULED
Discuss UNITEN support, waste storage and processing space, collection assistance, product validation and sustainable costs before expansion.</x:v>
      </x:c>
      <x:c r="V28" s="3" t="str">
        <x:v>AFTER THE COMPETITION — UNSCHEDULED
Discuss UNITEN support, waste storage and processing space, collection assistance, product validation and sustainable costs before expansion.</x:v>
      </x:c>
      <x:c r="W28" s="3" t="str">
        <x:v>AFTER THE COMPETITION — UNSCHEDULED
Discuss UNITEN support, waste storage and processing space, collection assistance, product validation and sustainable costs before expansion.</x:v>
      </x:c>
      <x:c r="X28" s="3" t="str">
        <x:v>AFTER THE COMPETITION — UNSCHEDULED
Discuss UNITEN support, waste storage and processing space, collection assistance, product validation and sustainable costs before expansion.</x:v>
      </x:c>
      <x:c r="Y28" s="3" t="str">
        <x:v>AFTER THE COMPETITION — UNSCHEDULED
Discuss UNITEN support, waste storage and processing space, collection assistance, product validation and sustainable costs before expansion.</x:v>
      </x:c>
      <x:c r="Z28" s="3" t="str">
        <x:v>AFTER THE COMPETITION — UNSCHEDULED
Discuss UNITEN support, waste storage and processing space, collection assistance, product validation and sustainable costs before expansion.</x:v>
      </x:c>
      <x:c r="AA28" s="3" t="str">
        <x:v>AFTER THE COMPETITION — UNSCHEDULED
Discuss UNITEN support, waste storage and processing space, collection assistance, product validation and sustainable costs before expansion.</x:v>
      </x:c>
      <x:c r="AB28" s="3" t="str">
        <x:v>AFTER THE COMPETITION — UNSCHEDULED
Discuss UNITEN support, waste storage and processing space, collection assistance, product validation and sustainable costs before expansion.</x:v>
      </x:c>
      <x:c r="AC28" s="3" t="str">
        <x:v>AFTER THE COMPETITION — UNSCHEDULED
Discuss UNITEN support, waste storage and processing space, collection assistance, product validation and sustainable costs before expansion.</x:v>
      </x:c>
      <x:c r="AD28" s="3" t="str">
        <x:v>AFTER THE COMPETITION — UNSCHEDULED
Discuss UNITEN support, waste storage and processing space, collection assistance, product validation and sustainable costs before expansion.</x:v>
      </x:c>
      <x:c r="AE28" s="3" t="str">
        <x:v>AFTER THE COMPETITION — UNSCHEDULED
Discuss UNITEN support, waste storage and processing space, collection assistance, product validation and sustainable costs before expansion.</x:v>
      </x:c>
      <x:c r="AF28" s="3" t="str">
        <x:v>AFTER THE COMPETITION — UNSCHEDULED
Discuss UNITEN support, waste storage and processing space, collection assistance, product validation and sustainable costs before expansion.</x:v>
      </x:c>
      <x:c r="AG28" s="3" t="str">
        <x:v>AFTER THE COMPETITION — UNSCHEDULED
Discuss UNITEN support, waste storage and processing space, collection assistance, product validation and sustainable costs before expansion.</x:v>
      </x:c>
      <x:c r="AH28" s="3" t="str">
        <x:v>AFTER THE COMPETITION — UNSCHEDULED
Discuss UNITEN support, waste storage and processing space, collection assistance, product validation and sustainable costs before expansion.</x:v>
      </x:c>
      <x:c r="AI28" s="3" t="str">
        <x:v>AFTER THE COMPETITION — UNSCHEDULED
Discuss UNITEN support, waste storage and processing space, collection assistance, product validation and sustainable costs before expansion.</x:v>
      </x:c>
    </x:row>
    <x:row r="29" ht="43" customHeight="1">
      <x:c r="A29" s="27" t="str">
        <x:v>PITCH</x:v>
      </x:c>
      <x:c r="B29" s="12" t="str">
        <x:v>Rehearse final pitch and live demonstration</x:v>
      </x:c>
      <x:c r="C29" s="12" t="str">
        <x:v>All</x:v>
      </x:c>
      <x:c r="D29" s="12" t="n">
        <x:v>4</x:v>
      </x:c>
      <x:c r="E29" s="12" t="str">
        <x:v>Practice Q&amp;A; present sample as experimental.</x:v>
      </x:c>
      <x:c r="F29" s="13" t="n">
        <x:v>46321</x:v>
      </x:c>
      <x:c r="G29" s="13" t="n">
        <x:v>46324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</x:row>
    <x:row r="30" ht="43" customHeight="1">
      <x:c r="A30" s="31" t="str">
        <x:v>REVIEW</x:v>
      </x:c>
      <x:c r="B30" s="3" t="str">
        <x:v>Final demonstration and packaging review</x:v>
      </x:c>
      <x:c r="C30" s="3" t="str">
        <x:v>Muaz, Haziq, Faiz</x:v>
      </x:c>
      <x:c r="D30" s="3" t="n">
        <x:v>3</x:v>
      </x:c>
      <x:c r="E30" s="3" t="str">
        <x:v>Check presentation readiness; no fertilizer sales claim.</x:v>
      </x:c>
      <x:c r="F30" s="11" t="n">
        <x:v>46321</x:v>
      </x:c>
      <x:c r="G30" s="11" t="n">
        <x:v>46324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</x:row>
    <x:row r="31" ht="43" customHeight="1">
      <x:c r="A31" s="29" t="str">
        <x:v>MILESTONE</x:v>
      </x:c>
      <x:c r="B31" s="12" t="str">
        <x:v>Physical final-stage pitch</x:v>
      </x:c>
      <x:c r="C31" s="12" t="str">
        <x:v>All</x:v>
      </x:c>
      <x:c r="D31" s="12" t="n">
        <x:v>4</x:v>
      </x:c>
      <x:c r="E31" s="12" t="str">
        <x:v>30 Oct; subject to competition progression.</x:v>
      </x:c>
      <x:c r="F31" s="13" t="n">
        <x:v>46325</x:v>
      </x:c>
      <x:c r="G31" s="13" t="n">
        <x:v>46325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</x:row>
    <x:row r="34">
      <x:c r="A34" s="32" t="str">
        <x:v>GANTT TIMELINE — DAILY VIEW</x:v>
      </x:c>
      <x:c r="B34" s="32" t="str">
        <x:v>GANTT TIMELINE — DAILY VIEW</x:v>
      </x:c>
      <x:c r="C34" s="32" t="str">
        <x:v>GANTT TIMELINE — DAILY VIEW</x:v>
      </x:c>
      <x:c r="D34" s="32" t="str">
        <x:v>GANTT TIMELINE — DAILY VIEW</x:v>
      </x:c>
      <x:c r="E34" s="32" t="str">
        <x:v>GANTT TIMELINE — DAILY VIEW</x:v>
      </x:c>
      <x:c r="F34" s="32" t="str">
        <x:v>GANTT TIMELINE — DAILY VIEW</x:v>
      </x:c>
      <x:c r="G34" s="32" t="str">
        <x:v>GANTT TIMELINE — DAILY VIEW</x:v>
      </x:c>
      <x:c r="H34" s="32" t="str">
        <x:v>GANTT TIMELINE — DAILY VIEW</x:v>
      </x:c>
      <x:c r="I34" s="32" t="str">
        <x:v>GANTT TIMELINE — DAILY VIEW</x:v>
      </x:c>
      <x:c r="J34" s="32" t="str">
        <x:v>GANTT TIMELINE — DAILY VIEW</x:v>
      </x:c>
      <x:c r="K34" s="32" t="str">
        <x:v>GANTT TIMELINE — DAILY VIEW</x:v>
      </x:c>
      <x:c r="L34" s="32" t="str">
        <x:v>GANTT TIMELINE — DAILY VIEW</x:v>
      </x:c>
      <x:c r="M34" s="32" t="str">
        <x:v>GANTT TIMELINE — DAILY VIEW</x:v>
      </x:c>
      <x:c r="N34" s="32" t="str">
        <x:v>GANTT TIMELINE — DAILY VIEW</x:v>
      </x:c>
      <x:c r="O34" s="32" t="str">
        <x:v>GANTT TIMELINE — DAILY VIEW</x:v>
      </x:c>
      <x:c r="P34" s="32" t="str">
        <x:v>GANTT TIMELINE — DAILY VIEW</x:v>
      </x:c>
      <x:c r="Q34" s="32" t="str">
        <x:v>GANTT TIMELINE — DAILY VIEW</x:v>
      </x:c>
      <x:c r="R34" s="32" t="str">
        <x:v>GANTT TIMELINE — DAILY VIEW</x:v>
      </x:c>
      <x:c r="S34" s="32" t="str">
        <x:v>GANTT TIMELINE — DAILY VIEW</x:v>
      </x:c>
      <x:c r="T34" s="32" t="str">
        <x:v>GANTT TIMELINE — DAILY VIEW</x:v>
      </x:c>
      <x:c r="U34" s="32" t="str">
        <x:v>GANTT TIMELINE — DAILY VIEW</x:v>
      </x:c>
      <x:c r="V34" s="32" t="str">
        <x:v>GANTT TIMELINE — DAILY VIEW</x:v>
      </x:c>
      <x:c r="W34" s="32" t="str">
        <x:v>GANTT TIMELINE — DAILY VIEW</x:v>
      </x:c>
      <x:c r="X34" s="32" t="str">
        <x:v>GANTT TIMELINE — DAILY VIEW</x:v>
      </x:c>
      <x:c r="Y34" s="32" t="str">
        <x:v>GANTT TIMELINE — DAILY VIEW</x:v>
      </x:c>
      <x:c r="Z34" s="32" t="str">
        <x:v>GANTT TIMELINE — DAILY VIEW</x:v>
      </x:c>
      <x:c r="AA34" s="32" t="str">
        <x:v>GANTT TIMELINE — DAILY VIEW</x:v>
      </x:c>
      <x:c r="AB34" s="32" t="str">
        <x:v>GANTT TIMELINE — DAILY VIEW</x:v>
      </x:c>
      <x:c r="AC34" s="32" t="str">
        <x:v>GANTT TIMELINE — DAILY VIEW</x:v>
      </x:c>
      <x:c r="AD34" s="32" t="str">
        <x:v>GANTT TIMELINE — DAILY VIEW</x:v>
      </x:c>
      <x:c r="AE34" s="32" t="str">
        <x:v>GANTT TIMELINE — DAILY VIEW</x:v>
      </x:c>
      <x:c r="AF34" s="32" t="str">
        <x:v>GANTT TIMELINE — DAILY VIEW</x:v>
      </x:c>
      <x:c r="AG34" s="32" t="str">
        <x:v>GANTT TIMELINE — DAILY VIEW</x:v>
      </x:c>
      <x:c r="AH34" s="32" t="str">
        <x:v>GANTT TIMELINE — DAILY VIEW</x:v>
      </x:c>
      <x:c r="AI34" s="32" t="str">
        <x:v>GANTT TIMELINE — DAILY VIEW</x:v>
      </x:c>
    </x:row>
    <x:row r="35" ht="26" customHeight="1">
      <x:c r="A35" s="33" t="str">
        <x:v>Task</x:v>
      </x:c>
      <x:c r="B35" s="33" t="str">
        <x:v>Task</x:v>
      </x:c>
      <x:c r="C35" s="33" t="str">
        <x:v>Week 1</x:v>
      </x:c>
      <x:c r="D35" s="33" t="str">
        <x:v>Week 1</x:v>
      </x:c>
      <x:c r="E35" s="33" t="str">
        <x:v>Week 1</x:v>
      </x:c>
      <x:c r="F35" s="33" t="str">
        <x:v>Week 1</x:v>
      </x:c>
      <x:c r="G35" s="33" t="str">
        <x:v>Week 1</x:v>
      </x:c>
      <x:c r="H35" s="33" t="str">
        <x:v>Week 1</x:v>
      </x:c>
      <x:c r="I35" s="33" t="str">
        <x:v>Week 1</x:v>
      </x:c>
      <x:c r="J35" s="33" t="str">
        <x:v>Week 2</x:v>
      </x:c>
      <x:c r="K35" s="33" t="str">
        <x:v>Week 2</x:v>
      </x:c>
      <x:c r="L35" s="33" t="str">
        <x:v>Week 2</x:v>
      </x:c>
      <x:c r="M35" s="33" t="str">
        <x:v>Week 2</x:v>
      </x:c>
      <x:c r="N35" s="33" t="str">
        <x:v>Week 2</x:v>
      </x:c>
      <x:c r="O35" s="33" t="str">
        <x:v>Week 2</x:v>
      </x:c>
      <x:c r="P35" s="33" t="str">
        <x:v>Week 2</x:v>
      </x:c>
      <x:c r="Q35" s="33" t="str">
        <x:v>Week 3</x:v>
      </x:c>
      <x:c r="R35" s="33" t="str">
        <x:v>Week 3</x:v>
      </x:c>
      <x:c r="S35" s="33" t="str">
        <x:v>Week 3</x:v>
      </x:c>
      <x:c r="T35" s="33" t="str">
        <x:v>Week 3</x:v>
      </x:c>
      <x:c r="U35" s="33" t="str">
        <x:v>Week 3</x:v>
      </x:c>
      <x:c r="V35" s="33" t="str">
        <x:v>Week 3</x:v>
      </x:c>
      <x:c r="W35" s="33" t="str">
        <x:v>Week 3</x:v>
      </x:c>
      <x:c r="X35" s="33" t="str">
        <x:v>Week 4</x:v>
      </x:c>
      <x:c r="Y35" s="33" t="str">
        <x:v>Week 4</x:v>
      </x:c>
      <x:c r="Z35" s="33" t="str">
        <x:v>Week 4</x:v>
      </x:c>
      <x:c r="AA35" s="33" t="str">
        <x:v>Week 4</x:v>
      </x:c>
      <x:c r="AB35" s="33" t="str">
        <x:v>Week 4</x:v>
      </x:c>
      <x:c r="AC35" s="33" t="str">
        <x:v>Week 4</x:v>
      </x:c>
      <x:c r="AD35" s="33" t="str">
        <x:v>Week 4</x:v>
      </x:c>
      <x:c r="AE35" s="33" t="str">
        <x:v>Final week</x:v>
      </x:c>
      <x:c r="AF35" s="33" t="str">
        <x:v>Final week</x:v>
      </x:c>
      <x:c r="AG35" s="33" t="str">
        <x:v>Final week</x:v>
      </x:c>
      <x:c r="AH35" s="33" t="str">
        <x:v>Final week</x:v>
      </x:c>
      <x:c r="AI35" s="33" t="str">
        <x:v>Final week</x:v>
      </x:c>
    </x:row>
    <x:row r="36" ht="26" customHeight="1">
      <x:c r="A36" s="33" t="str">
        <x:v>Task</x:v>
      </x:c>
      <x:c r="B36" s="33" t="str">
        <x:v>Task</x:v>
      </x:c>
      <x:c r="C36" s="35" t="n">
        <x:v>46293</x:v>
      </x:c>
      <x:c r="D36" s="35" t="n">
        <x:v>46294</x:v>
      </x:c>
      <x:c r="E36" s="35" t="n">
        <x:v>46295</x:v>
      </x:c>
      <x:c r="F36" s="35" t="n">
        <x:v>46296</x:v>
      </x:c>
      <x:c r="G36" s="35" t="n">
        <x:v>46297</x:v>
      </x:c>
      <x:c r="H36" s="35" t="n">
        <x:v>46298</x:v>
      </x:c>
      <x:c r="I36" s="35" t="n">
        <x:v>46299</x:v>
      </x:c>
      <x:c r="J36" s="35" t="n">
        <x:v>46300</x:v>
      </x:c>
      <x:c r="K36" s="35" t="n">
        <x:v>46301</x:v>
      </x:c>
      <x:c r="L36" s="35" t="n">
        <x:v>46302</x:v>
      </x:c>
      <x:c r="M36" s="35" t="n">
        <x:v>46303</x:v>
      </x:c>
      <x:c r="N36" s="35" t="n">
        <x:v>46304</x:v>
      </x:c>
      <x:c r="O36" s="35" t="n">
        <x:v>46305</x:v>
      </x:c>
      <x:c r="P36" s="35" t="n">
        <x:v>46306</x:v>
      </x:c>
      <x:c r="Q36" s="35" t="n">
        <x:v>46307</x:v>
      </x:c>
      <x:c r="R36" s="35" t="n">
        <x:v>46308</x:v>
      </x:c>
      <x:c r="S36" s="35" t="n">
        <x:v>46309</x:v>
      </x:c>
      <x:c r="T36" s="35" t="n">
        <x:v>46310</x:v>
      </x:c>
      <x:c r="U36" s="35" t="n">
        <x:v>46311</x:v>
      </x:c>
      <x:c r="V36" s="35" t="n">
        <x:v>46312</x:v>
      </x:c>
      <x:c r="W36" s="35" t="n">
        <x:v>46313</x:v>
      </x:c>
      <x:c r="X36" s="35" t="n">
        <x:v>46314</x:v>
      </x:c>
      <x:c r="Y36" s="35" t="n">
        <x:v>46315</x:v>
      </x:c>
      <x:c r="Z36" s="35" t="n">
        <x:v>46316</x:v>
      </x:c>
      <x:c r="AA36" s="35" t="n">
        <x:v>46317</x:v>
      </x:c>
      <x:c r="AB36" s="35" t="n">
        <x:v>46318</x:v>
      </x:c>
      <x:c r="AC36" s="35" t="n">
        <x:v>46319</x:v>
      </x:c>
      <x:c r="AD36" s="35" t="n">
        <x:v>46320</x:v>
      </x:c>
      <x:c r="AE36" s="35" t="n">
        <x:v>46321</x:v>
      </x:c>
      <x:c r="AF36" s="35" t="n">
        <x:v>46322</x:v>
      </x:c>
      <x:c r="AG36" s="35" t="n">
        <x:v>46323</x:v>
      </x:c>
      <x:c r="AH36" s="35" t="n">
        <x:v>46324</x:v>
      </x:c>
      <x:c r="AI36" s="35" t="n">
        <x:v>46325</x:v>
      </x:c>
    </x:row>
    <x:row r="37" ht="34" customHeight="1">
      <x:c r="A37" s="3" t="str">
        <x:f>A9</x:f>
        <x:v>PLAN</x:v>
      </x:c>
      <x:c r="B37" s="3" t="str">
        <x:f>B9</x:f>
        <x:v>Confirm scope, roles and RM100 budget</x:v>
      </x:c>
      <x:c r="C37" s="36" t="n">
        <x:f>IF(AND(C$36&gt;=$F9,C$36&lt;=$G9),1,"")</x:f>
        <x:v>1</x:v>
      </x:c>
      <x:c r="D37" s="36" t="n">
        <x:f>IF(AND(D$36&gt;=$F9,D$36&lt;=$G9),1,"")</x:f>
        <x:v>1</x:v>
      </x:c>
      <x:c r="E37" s="36" t="str">
        <x:f>IF(AND(E$36&gt;=$F9,E$36&lt;=$G9),1,"")</x:f>
      </x:c>
      <x:c r="F37" s="36" t="str">
        <x:f>IF(AND(F$36&gt;=$F9,F$36&lt;=$G9),1,"")</x:f>
      </x:c>
      <x:c r="G37" s="36" t="str">
        <x:f>IF(AND(G$36&gt;=$F9,G$36&lt;=$G9),1,"")</x:f>
      </x:c>
      <x:c r="H37" s="36" t="str">
        <x:f>IF(AND(H$36&gt;=$F9,H$36&lt;=$G9),1,"")</x:f>
      </x:c>
      <x:c r="I37" s="36" t="str">
        <x:f>IF(AND(I$36&gt;=$F9,I$36&lt;=$G9),1,"")</x:f>
      </x:c>
      <x:c r="J37" s="36" t="str">
        <x:f>IF(AND(J$36&gt;=$F9,J$36&lt;=$G9),1,"")</x:f>
      </x:c>
      <x:c r="K37" s="36" t="str">
        <x:f>IF(AND(K$36&gt;=$F9,K$36&lt;=$G9),1,"")</x:f>
      </x:c>
      <x:c r="L37" s="36" t="str">
        <x:f>IF(AND(L$36&gt;=$F9,L$36&lt;=$G9),1,"")</x:f>
      </x:c>
      <x:c r="M37" s="36" t="str">
        <x:f>IF(AND(M$36&gt;=$F9,M$36&lt;=$G9),1,"")</x:f>
      </x:c>
      <x:c r="N37" s="36" t="str">
        <x:f>IF(AND(N$36&gt;=$F9,N$36&lt;=$G9),1,"")</x:f>
      </x:c>
      <x:c r="O37" s="36" t="str">
        <x:f>IF(AND(O$36&gt;=$F9,O$36&lt;=$G9),1,"")</x:f>
      </x:c>
      <x:c r="P37" s="36" t="str">
        <x:f>IF(AND(P$36&gt;=$F9,P$36&lt;=$G9),1,"")</x:f>
      </x:c>
      <x:c r="Q37" s="36" t="str">
        <x:f>IF(AND(Q$36&gt;=$F9,Q$36&lt;=$G9),1,"")</x:f>
      </x:c>
      <x:c r="R37" s="36" t="str">
        <x:f>IF(AND(R$36&gt;=$F9,R$36&lt;=$G9),1,"")</x:f>
      </x:c>
      <x:c r="S37" s="36" t="str">
        <x:f>IF(AND(S$36&gt;=$F9,S$36&lt;=$G9),1,"")</x:f>
      </x:c>
      <x:c r="T37" s="36" t="str">
        <x:f>IF(AND(T$36&gt;=$F9,T$36&lt;=$G9),1,"")</x:f>
      </x:c>
      <x:c r="U37" s="36" t="str">
        <x:f>IF(AND(U$36&gt;=$F9,U$36&lt;=$G9),1,"")</x:f>
      </x:c>
      <x:c r="V37" s="36" t="str">
        <x:f>IF(AND(V$36&gt;=$F9,V$36&lt;=$G9),1,"")</x:f>
      </x:c>
      <x:c r="W37" s="36" t="str">
        <x:f>IF(AND(W$36&gt;=$F9,W$36&lt;=$G9),1,"")</x:f>
      </x:c>
      <x:c r="X37" s="36" t="str">
        <x:f>IF(AND(X$36&gt;=$F9,X$36&lt;=$G9),1,"")</x:f>
      </x:c>
      <x:c r="Y37" s="36" t="str">
        <x:f>IF(AND(Y$36&gt;=$F9,Y$36&lt;=$G9),1,"")</x:f>
      </x:c>
      <x:c r="Z37" s="36" t="str">
        <x:f>IF(AND(Z$36&gt;=$F9,Z$36&lt;=$G9),1,"")</x:f>
      </x:c>
      <x:c r="AA37" s="36" t="str">
        <x:f>IF(AND(AA$36&gt;=$F9,AA$36&lt;=$G9),1,"")</x:f>
      </x:c>
      <x:c r="AB37" s="36" t="str">
        <x:f>IF(AND(AB$36&gt;=$F9,AB$36&lt;=$G9),1,"")</x:f>
      </x:c>
      <x:c r="AC37" s="36" t="str">
        <x:f>IF(AND(AC$36&gt;=$F9,AC$36&lt;=$G9),1,"")</x:f>
      </x:c>
      <x:c r="AD37" s="36" t="str">
        <x:f>IF(AND(AD$36&gt;=$F9,AD$36&lt;=$G9),1,"")</x:f>
      </x:c>
      <x:c r="AE37" s="36" t="str">
        <x:f>IF(AND(AE$36&gt;=$F9,AE$36&lt;=$G9),1,"")</x:f>
      </x:c>
      <x:c r="AF37" s="36" t="str">
        <x:f>IF(AND(AF$36&gt;=$F9,AF$36&lt;=$G9),1,"")</x:f>
      </x:c>
      <x:c r="AG37" s="36" t="str">
        <x:f>IF(AND(AG$36&gt;=$F9,AG$36&lt;=$G9),1,"")</x:f>
      </x:c>
      <x:c r="AH37" s="36" t="str">
        <x:f>IF(AND(AH$36&gt;=$F9,AH$36&lt;=$G9),1,"")</x:f>
      </x:c>
      <x:c r="AI37" s="36" t="str">
        <x:f>IF(AND(AI$36&gt;=$F9,AI$36&lt;=$G9),1,"")</x:f>
      </x:c>
    </x:row>
    <x:row r="38" ht="34" customHeight="1">
      <x:c r="A38" s="3" t="str">
        <x:f>A10</x:f>
        <x:v>DISCOVERY</x:v>
      </x:c>
      <x:c r="B38" s="3" t="str">
        <x:f>B10</x:f>
        <x:v>Interview cabin vendor</x:v>
      </x:c>
      <x:c r="C38" s="36" t="n">
        <x:f>IF(AND(C$36&gt;=$F10,C$36&lt;=$G10),1,"")</x:f>
        <x:v>1</x:v>
      </x:c>
      <x:c r="D38" s="36" t="n">
        <x:f>IF(AND(D$36&gt;=$F10,D$36&lt;=$G10),1,"")</x:f>
        <x:v>1</x:v>
      </x:c>
      <x:c r="E38" s="36" t="n">
        <x:f>IF(AND(E$36&gt;=$F10,E$36&lt;=$G10),1,"")</x:f>
        <x:v>1</x:v>
      </x:c>
      <x:c r="F38" s="36" t="n">
        <x:f>IF(AND(F$36&gt;=$F10,F$36&lt;=$G10),1,"")</x:f>
        <x:v>1</x:v>
      </x:c>
      <x:c r="G38" s="36" t="n">
        <x:f>IF(AND(G$36&gt;=$F10,G$36&lt;=$G10),1,"")</x:f>
        <x:v>1</x:v>
      </x:c>
      <x:c r="H38" s="36" t="n">
        <x:f>IF(AND(H$36&gt;=$F10,H$36&lt;=$G10),1,"")</x:f>
        <x:v>1</x:v>
      </x:c>
      <x:c r="I38" s="36" t="n">
        <x:f>IF(AND(I$36&gt;=$F10,I$36&lt;=$G10),1,"")</x:f>
        <x:v>1</x:v>
      </x:c>
      <x:c r="J38" s="36" t="str">
        <x:f>IF(AND(J$36&gt;=$F10,J$36&lt;=$G10),1,"")</x:f>
      </x:c>
      <x:c r="K38" s="36" t="str">
        <x:f>IF(AND(K$36&gt;=$F10,K$36&lt;=$G10),1,"")</x:f>
      </x:c>
      <x:c r="L38" s="36" t="str">
        <x:f>IF(AND(L$36&gt;=$F10,L$36&lt;=$G10),1,"")</x:f>
      </x:c>
      <x:c r="M38" s="36" t="str">
        <x:f>IF(AND(M$36&gt;=$F10,M$36&lt;=$G10),1,"")</x:f>
      </x:c>
      <x:c r="N38" s="36" t="str">
        <x:f>IF(AND(N$36&gt;=$F10,N$36&lt;=$G10),1,"")</x:f>
      </x:c>
      <x:c r="O38" s="36" t="str">
        <x:f>IF(AND(O$36&gt;=$F10,O$36&lt;=$G10),1,"")</x:f>
      </x:c>
      <x:c r="P38" s="36" t="str">
        <x:f>IF(AND(P$36&gt;=$F10,P$36&lt;=$G10),1,"")</x:f>
      </x:c>
      <x:c r="Q38" s="36" t="str">
        <x:f>IF(AND(Q$36&gt;=$F10,Q$36&lt;=$G10),1,"")</x:f>
      </x:c>
      <x:c r="R38" s="36" t="str">
        <x:f>IF(AND(R$36&gt;=$F10,R$36&lt;=$G10),1,"")</x:f>
      </x:c>
      <x:c r="S38" s="36" t="str">
        <x:f>IF(AND(S$36&gt;=$F10,S$36&lt;=$G10),1,"")</x:f>
      </x:c>
      <x:c r="T38" s="36" t="str">
        <x:f>IF(AND(T$36&gt;=$F10,T$36&lt;=$G10),1,"")</x:f>
      </x:c>
      <x:c r="U38" s="36" t="str">
        <x:f>IF(AND(U$36&gt;=$F10,U$36&lt;=$G10),1,"")</x:f>
      </x:c>
      <x:c r="V38" s="36" t="str">
        <x:f>IF(AND(V$36&gt;=$F10,V$36&lt;=$G10),1,"")</x:f>
      </x:c>
      <x:c r="W38" s="36" t="str">
        <x:f>IF(AND(W$36&gt;=$F10,W$36&lt;=$G10),1,"")</x:f>
      </x:c>
      <x:c r="X38" s="36" t="str">
        <x:f>IF(AND(X$36&gt;=$F10,X$36&lt;=$G10),1,"")</x:f>
      </x:c>
      <x:c r="Y38" s="36" t="str">
        <x:f>IF(AND(Y$36&gt;=$F10,Y$36&lt;=$G10),1,"")</x:f>
      </x:c>
      <x:c r="Z38" s="36" t="str">
        <x:f>IF(AND(Z$36&gt;=$F10,Z$36&lt;=$G10),1,"")</x:f>
      </x:c>
      <x:c r="AA38" s="36" t="str">
        <x:f>IF(AND(AA$36&gt;=$F10,AA$36&lt;=$G10),1,"")</x:f>
      </x:c>
      <x:c r="AB38" s="36" t="str">
        <x:f>IF(AND(AB$36&gt;=$F10,AB$36&lt;=$G10),1,"")</x:f>
      </x:c>
      <x:c r="AC38" s="36" t="str">
        <x:f>IF(AND(AC$36&gt;=$F10,AC$36&lt;=$G10),1,"")</x:f>
      </x:c>
      <x:c r="AD38" s="36" t="str">
        <x:f>IF(AND(AD$36&gt;=$F10,AD$36&lt;=$G10),1,"")</x:f>
      </x:c>
      <x:c r="AE38" s="36" t="str">
        <x:f>IF(AND(AE$36&gt;=$F10,AE$36&lt;=$G10),1,"")</x:f>
      </x:c>
      <x:c r="AF38" s="36" t="str">
        <x:f>IF(AND(AF$36&gt;=$F10,AF$36&lt;=$G10),1,"")</x:f>
      </x:c>
      <x:c r="AG38" s="36" t="str">
        <x:f>IF(AND(AG$36&gt;=$F10,AG$36&lt;=$G10),1,"")</x:f>
      </x:c>
      <x:c r="AH38" s="36" t="str">
        <x:f>IF(AND(AH$36&gt;=$F10,AH$36&lt;=$G10),1,"")</x:f>
      </x:c>
      <x:c r="AI38" s="36" t="str">
        <x:f>IF(AND(AI$36&gt;=$F10,AI$36&lt;=$G10),1,"")</x:f>
      </x:c>
    </x:row>
    <x:row r="39" ht="34" customHeight="1">
      <x:c r="A39" s="3" t="str">
        <x:f>A11</x:f>
        <x:v>DISCOVERY</x:v>
      </x:c>
      <x:c r="B39" s="3" t="str">
        <x:f>B11</x:f>
        <x:v>Survey nearby students</x:v>
      </x:c>
      <x:c r="C39" s="36" t="n">
        <x:f>IF(AND(C$36&gt;=$F11,C$36&lt;=$G11),1,"")</x:f>
        <x:v>1</x:v>
      </x:c>
      <x:c r="D39" s="36" t="n">
        <x:f>IF(AND(D$36&gt;=$F11,D$36&lt;=$G11),1,"")</x:f>
        <x:v>1</x:v>
      </x:c>
      <x:c r="E39" s="36" t="n">
        <x:f>IF(AND(E$36&gt;=$F11,E$36&lt;=$G11),1,"")</x:f>
        <x:v>1</x:v>
      </x:c>
      <x:c r="F39" s="36" t="n">
        <x:f>IF(AND(F$36&gt;=$F11,F$36&lt;=$G11),1,"")</x:f>
        <x:v>1</x:v>
      </x:c>
      <x:c r="G39" s="36" t="n">
        <x:f>IF(AND(G$36&gt;=$F11,G$36&lt;=$G11),1,"")</x:f>
        <x:v>1</x:v>
      </x:c>
      <x:c r="H39" s="36" t="n">
        <x:f>IF(AND(H$36&gt;=$F11,H$36&lt;=$G11),1,"")</x:f>
        <x:v>1</x:v>
      </x:c>
      <x:c r="I39" s="36" t="n">
        <x:f>IF(AND(I$36&gt;=$F11,I$36&lt;=$G11),1,"")</x:f>
        <x:v>1</x:v>
      </x:c>
      <x:c r="J39" s="36" t="str">
        <x:f>IF(AND(J$36&gt;=$F11,J$36&lt;=$G11),1,"")</x:f>
      </x:c>
      <x:c r="K39" s="36" t="str">
        <x:f>IF(AND(K$36&gt;=$F11,K$36&lt;=$G11),1,"")</x:f>
      </x:c>
      <x:c r="L39" s="36" t="str">
        <x:f>IF(AND(L$36&gt;=$F11,L$36&lt;=$G11),1,"")</x:f>
      </x:c>
      <x:c r="M39" s="36" t="str">
        <x:f>IF(AND(M$36&gt;=$F11,M$36&lt;=$G11),1,"")</x:f>
      </x:c>
      <x:c r="N39" s="36" t="str">
        <x:f>IF(AND(N$36&gt;=$F11,N$36&lt;=$G11),1,"")</x:f>
      </x:c>
      <x:c r="O39" s="36" t="str">
        <x:f>IF(AND(O$36&gt;=$F11,O$36&lt;=$G11),1,"")</x:f>
      </x:c>
      <x:c r="P39" s="36" t="str">
        <x:f>IF(AND(P$36&gt;=$F11,P$36&lt;=$G11),1,"")</x:f>
      </x:c>
      <x:c r="Q39" s="36" t="str">
        <x:f>IF(AND(Q$36&gt;=$F11,Q$36&lt;=$G11),1,"")</x:f>
      </x:c>
      <x:c r="R39" s="36" t="str">
        <x:f>IF(AND(R$36&gt;=$F11,R$36&lt;=$G11),1,"")</x:f>
      </x:c>
      <x:c r="S39" s="36" t="str">
        <x:f>IF(AND(S$36&gt;=$F11,S$36&lt;=$G11),1,"")</x:f>
      </x:c>
      <x:c r="T39" s="36" t="str">
        <x:f>IF(AND(T$36&gt;=$F11,T$36&lt;=$G11),1,"")</x:f>
      </x:c>
      <x:c r="U39" s="36" t="str">
        <x:f>IF(AND(U$36&gt;=$F11,U$36&lt;=$G11),1,"")</x:f>
      </x:c>
      <x:c r="V39" s="36" t="str">
        <x:f>IF(AND(V$36&gt;=$F11,V$36&lt;=$G11),1,"")</x:f>
      </x:c>
      <x:c r="W39" s="36" t="str">
        <x:f>IF(AND(W$36&gt;=$F11,W$36&lt;=$G11),1,"")</x:f>
      </x:c>
      <x:c r="X39" s="36" t="str">
        <x:f>IF(AND(X$36&gt;=$F11,X$36&lt;=$G11),1,"")</x:f>
      </x:c>
      <x:c r="Y39" s="36" t="str">
        <x:f>IF(AND(Y$36&gt;=$F11,Y$36&lt;=$G11),1,"")</x:f>
      </x:c>
      <x:c r="Z39" s="36" t="str">
        <x:f>IF(AND(Z$36&gt;=$F11,Z$36&lt;=$G11),1,"")</x:f>
      </x:c>
      <x:c r="AA39" s="36" t="str">
        <x:f>IF(AND(AA$36&gt;=$F11,AA$36&lt;=$G11),1,"")</x:f>
      </x:c>
      <x:c r="AB39" s="36" t="str">
        <x:f>IF(AND(AB$36&gt;=$F11,AB$36&lt;=$G11),1,"")</x:f>
      </x:c>
      <x:c r="AC39" s="36" t="str">
        <x:f>IF(AND(AC$36&gt;=$F11,AC$36&lt;=$G11),1,"")</x:f>
      </x:c>
      <x:c r="AD39" s="36" t="str">
        <x:f>IF(AND(AD$36&gt;=$F11,AD$36&lt;=$G11),1,"")</x:f>
      </x:c>
      <x:c r="AE39" s="36" t="str">
        <x:f>IF(AND(AE$36&gt;=$F11,AE$36&lt;=$G11),1,"")</x:f>
      </x:c>
      <x:c r="AF39" s="36" t="str">
        <x:f>IF(AND(AF$36&gt;=$F11,AF$36&lt;=$G11),1,"")</x:f>
      </x:c>
      <x:c r="AG39" s="36" t="str">
        <x:f>IF(AND(AG$36&gt;=$F11,AG$36&lt;=$G11),1,"")</x:f>
      </x:c>
      <x:c r="AH39" s="36" t="str">
        <x:f>IF(AND(AH$36&gt;=$F11,AH$36&lt;=$G11),1,"")</x:f>
      </x:c>
      <x:c r="AI39" s="36" t="str">
        <x:f>IF(AND(AI$36&gt;=$F11,AI$36&lt;=$G11),1,"")</x:f>
      </x:c>
    </x:row>
    <x:row r="40" ht="34" customHeight="1">
      <x:c r="A40" s="3" t="str">
        <x:f>A12</x:f>
        <x:v>PLAN</x:v>
      </x:c>
      <x:c r="B40" s="3" t="str">
        <x:f>B12</x:f>
        <x:v>Complete competition registration</x:v>
      </x:c>
      <x:c r="C40" s="36" t="n">
        <x:f>IF(AND(C$36&gt;=$F12,C$36&lt;=$G12),1,"")</x:f>
        <x:v>1</x:v>
      </x:c>
      <x:c r="D40" s="36" t="n">
        <x:f>IF(AND(D$36&gt;=$F12,D$36&lt;=$G12),1,"")</x:f>
        <x:v>1</x:v>
      </x:c>
      <x:c r="E40" s="36" t="n">
        <x:f>IF(AND(E$36&gt;=$F12,E$36&lt;=$G12),1,"")</x:f>
        <x:v>1</x:v>
      </x:c>
      <x:c r="F40" s="36" t="n">
        <x:f>IF(AND(F$36&gt;=$F12,F$36&lt;=$G12),1,"")</x:f>
        <x:v>1</x:v>
      </x:c>
      <x:c r="G40" s="36" t="n">
        <x:f>IF(AND(G$36&gt;=$F12,G$36&lt;=$G12),1,"")</x:f>
        <x:v>1</x:v>
      </x:c>
      <x:c r="H40" s="36" t="n">
        <x:f>IF(AND(H$36&gt;=$F12,H$36&lt;=$G12),1,"")</x:f>
        <x:v>1</x:v>
      </x:c>
      <x:c r="I40" s="36" t="n">
        <x:f>IF(AND(I$36&gt;=$F12,I$36&lt;=$G12),1,"")</x:f>
        <x:v>1</x:v>
      </x:c>
      <x:c r="J40" s="36" t="n">
        <x:f>IF(AND(J$36&gt;=$F12,J$36&lt;=$G12),1,"")</x:f>
        <x:v>1</x:v>
      </x:c>
      <x:c r="K40" s="36" t="n">
        <x:f>IF(AND(K$36&gt;=$F12,K$36&lt;=$G12),1,"")</x:f>
        <x:v>1</x:v>
      </x:c>
      <x:c r="L40" s="36" t="n">
        <x:f>IF(AND(L$36&gt;=$F12,L$36&lt;=$G12),1,"")</x:f>
        <x:v>1</x:v>
      </x:c>
      <x:c r="M40" s="36" t="n">
        <x:f>IF(AND(M$36&gt;=$F12,M$36&lt;=$G12),1,"")</x:f>
        <x:v>1</x:v>
      </x:c>
      <x:c r="N40" s="36" t="n">
        <x:f>IF(AND(N$36&gt;=$F12,N$36&lt;=$G12),1,"")</x:f>
        <x:v>1</x:v>
      </x:c>
      <x:c r="O40" s="36" t="str">
        <x:f>IF(AND(O$36&gt;=$F12,O$36&lt;=$G12),1,"")</x:f>
      </x:c>
      <x:c r="P40" s="36" t="str">
        <x:f>IF(AND(P$36&gt;=$F12,P$36&lt;=$G12),1,"")</x:f>
      </x:c>
      <x:c r="Q40" s="36" t="str">
        <x:f>IF(AND(Q$36&gt;=$F12,Q$36&lt;=$G12),1,"")</x:f>
      </x:c>
      <x:c r="R40" s="36" t="str">
        <x:f>IF(AND(R$36&gt;=$F12,R$36&lt;=$G12),1,"")</x:f>
      </x:c>
      <x:c r="S40" s="36" t="str">
        <x:f>IF(AND(S$36&gt;=$F12,S$36&lt;=$G12),1,"")</x:f>
      </x:c>
      <x:c r="T40" s="36" t="str">
        <x:f>IF(AND(T$36&gt;=$F12,T$36&lt;=$G12),1,"")</x:f>
      </x:c>
      <x:c r="U40" s="36" t="str">
        <x:f>IF(AND(U$36&gt;=$F12,U$36&lt;=$G12),1,"")</x:f>
      </x:c>
      <x:c r="V40" s="36" t="str">
        <x:f>IF(AND(V$36&gt;=$F12,V$36&lt;=$G12),1,"")</x:f>
      </x:c>
      <x:c r="W40" s="36" t="str">
        <x:f>IF(AND(W$36&gt;=$F12,W$36&lt;=$G12),1,"")</x:f>
      </x:c>
      <x:c r="X40" s="36" t="str">
        <x:f>IF(AND(X$36&gt;=$F12,X$36&lt;=$G12),1,"")</x:f>
      </x:c>
      <x:c r="Y40" s="36" t="str">
        <x:f>IF(AND(Y$36&gt;=$F12,Y$36&lt;=$G12),1,"")</x:f>
      </x:c>
      <x:c r="Z40" s="36" t="str">
        <x:f>IF(AND(Z$36&gt;=$F12,Z$36&lt;=$G12),1,"")</x:f>
      </x:c>
      <x:c r="AA40" s="36" t="str">
        <x:f>IF(AND(AA$36&gt;=$F12,AA$36&lt;=$G12),1,"")</x:f>
      </x:c>
      <x:c r="AB40" s="36" t="str">
        <x:f>IF(AND(AB$36&gt;=$F12,AB$36&lt;=$G12),1,"")</x:f>
      </x:c>
      <x:c r="AC40" s="36" t="str">
        <x:f>IF(AND(AC$36&gt;=$F12,AC$36&lt;=$G12),1,"")</x:f>
      </x:c>
      <x:c r="AD40" s="36" t="str">
        <x:f>IF(AND(AD$36&gt;=$F12,AD$36&lt;=$G12),1,"")</x:f>
      </x:c>
      <x:c r="AE40" s="36" t="str">
        <x:f>IF(AND(AE$36&gt;=$F12,AE$36&lt;=$G12),1,"")</x:f>
      </x:c>
      <x:c r="AF40" s="36" t="str">
        <x:f>IF(AND(AF$36&gt;=$F12,AF$36&lt;=$G12),1,"")</x:f>
      </x:c>
      <x:c r="AG40" s="36" t="str">
        <x:f>IF(AND(AG$36&gt;=$F12,AG$36&lt;=$G12),1,"")</x:f>
      </x:c>
      <x:c r="AH40" s="36" t="str">
        <x:f>IF(AND(AH$36&gt;=$F12,AH$36&lt;=$G12),1,"")</x:f>
      </x:c>
      <x:c r="AI40" s="36" t="str">
        <x:f>IF(AND(AI$36&gt;=$F12,AI$36&lt;=$G12),1,"")</x:f>
      </x:c>
    </x:row>
    <x:row r="41" ht="34" customHeight="1">
      <x:c r="A41" s="3" t="str">
        <x:f>A13</x:f>
        <x:v>BRAND</x:v>
      </x:c>
      <x:c r="B41" s="3" t="str">
        <x:f>B13</x:f>
        <x:v>Prepare logo and promotional material</x:v>
      </x:c>
      <x:c r="C41" s="36" t="n">
        <x:f>IF(AND(C$36&gt;=$F13,C$36&lt;=$G13),1,"")</x:f>
        <x:v>1</x:v>
      </x:c>
      <x:c r="D41" s="36" t="n">
        <x:f>IF(AND(D$36&gt;=$F13,D$36&lt;=$G13),1,"")</x:f>
        <x:v>1</x:v>
      </x:c>
      <x:c r="E41" s="36" t="n">
        <x:f>IF(AND(E$36&gt;=$F13,E$36&lt;=$G13),1,"")</x:f>
        <x:v>1</x:v>
      </x:c>
      <x:c r="F41" s="36" t="n">
        <x:f>IF(AND(F$36&gt;=$F13,F$36&lt;=$G13),1,"")</x:f>
        <x:v>1</x:v>
      </x:c>
      <x:c r="G41" s="36" t="n">
        <x:f>IF(AND(G$36&gt;=$F13,G$36&lt;=$G13),1,"")</x:f>
        <x:v>1</x:v>
      </x:c>
      <x:c r="H41" s="36" t="n">
        <x:f>IF(AND(H$36&gt;=$F13,H$36&lt;=$G13),1,"")</x:f>
        <x:v>1</x:v>
      </x:c>
      <x:c r="I41" s="36" t="n">
        <x:f>IF(AND(I$36&gt;=$F13,I$36&lt;=$G13),1,"")</x:f>
        <x:v>1</x:v>
      </x:c>
      <x:c r="J41" s="36" t="str">
        <x:f>IF(AND(J$36&gt;=$F13,J$36&lt;=$G13),1,"")</x:f>
      </x:c>
      <x:c r="K41" s="36" t="str">
        <x:f>IF(AND(K$36&gt;=$F13,K$36&lt;=$G13),1,"")</x:f>
      </x:c>
      <x:c r="L41" s="36" t="str">
        <x:f>IF(AND(L$36&gt;=$F13,L$36&lt;=$G13),1,"")</x:f>
      </x:c>
      <x:c r="M41" s="36" t="str">
        <x:f>IF(AND(M$36&gt;=$F13,M$36&lt;=$G13),1,"")</x:f>
      </x:c>
      <x:c r="N41" s="36" t="str">
        <x:f>IF(AND(N$36&gt;=$F13,N$36&lt;=$G13),1,"")</x:f>
      </x:c>
      <x:c r="O41" s="36" t="str">
        <x:f>IF(AND(O$36&gt;=$F13,O$36&lt;=$G13),1,"")</x:f>
      </x:c>
      <x:c r="P41" s="36" t="str">
        <x:f>IF(AND(P$36&gt;=$F13,P$36&lt;=$G13),1,"")</x:f>
      </x:c>
      <x:c r="Q41" s="36" t="str">
        <x:f>IF(AND(Q$36&gt;=$F13,Q$36&lt;=$G13),1,"")</x:f>
      </x:c>
      <x:c r="R41" s="36" t="str">
        <x:f>IF(AND(R$36&gt;=$F13,R$36&lt;=$G13),1,"")</x:f>
      </x:c>
      <x:c r="S41" s="36" t="str">
        <x:f>IF(AND(S$36&gt;=$F13,S$36&lt;=$G13),1,"")</x:f>
      </x:c>
      <x:c r="T41" s="36" t="str">
        <x:f>IF(AND(T$36&gt;=$F13,T$36&lt;=$G13),1,"")</x:f>
      </x:c>
      <x:c r="U41" s="36" t="str">
        <x:f>IF(AND(U$36&gt;=$F13,U$36&lt;=$G13),1,"")</x:f>
      </x:c>
      <x:c r="V41" s="36" t="str">
        <x:f>IF(AND(V$36&gt;=$F13,V$36&lt;=$G13),1,"")</x:f>
      </x:c>
      <x:c r="W41" s="36" t="str">
        <x:f>IF(AND(W$36&gt;=$F13,W$36&lt;=$G13),1,"")</x:f>
      </x:c>
      <x:c r="X41" s="36" t="str">
        <x:f>IF(AND(X$36&gt;=$F13,X$36&lt;=$G13),1,"")</x:f>
      </x:c>
      <x:c r="Y41" s="36" t="str">
        <x:f>IF(AND(Y$36&gt;=$F13,Y$36&lt;=$G13),1,"")</x:f>
      </x:c>
      <x:c r="Z41" s="36" t="str">
        <x:f>IF(AND(Z$36&gt;=$F13,Z$36&lt;=$G13),1,"")</x:f>
      </x:c>
      <x:c r="AA41" s="36" t="str">
        <x:f>IF(AND(AA$36&gt;=$F13,AA$36&lt;=$G13),1,"")</x:f>
      </x:c>
      <x:c r="AB41" s="36" t="str">
        <x:f>IF(AND(AB$36&gt;=$F13,AB$36&lt;=$G13),1,"")</x:f>
      </x:c>
      <x:c r="AC41" s="36" t="str">
        <x:f>IF(AND(AC$36&gt;=$F13,AC$36&lt;=$G13),1,"")</x:f>
      </x:c>
      <x:c r="AD41" s="36" t="str">
        <x:f>IF(AND(AD$36&gt;=$F13,AD$36&lt;=$G13),1,"")</x:f>
      </x:c>
      <x:c r="AE41" s="36" t="str">
        <x:f>IF(AND(AE$36&gt;=$F13,AE$36&lt;=$G13),1,"")</x:f>
      </x:c>
      <x:c r="AF41" s="36" t="str">
        <x:f>IF(AND(AF$36&gt;=$F13,AF$36&lt;=$G13),1,"")</x:f>
      </x:c>
      <x:c r="AG41" s="36" t="str">
        <x:f>IF(AND(AG$36&gt;=$F13,AG$36&lt;=$G13),1,"")</x:f>
      </x:c>
      <x:c r="AH41" s="36" t="str">
        <x:f>IF(AND(AH$36&gt;=$F13,AH$36&lt;=$G13),1,"")</x:f>
      </x:c>
      <x:c r="AI41" s="36" t="str">
        <x:f>IF(AND(AI$36&gt;=$F13,AI$36&lt;=$G13),1,"")</x:f>
      </x:c>
    </x:row>
    <x:row r="42" ht="34" customHeight="1">
      <x:c r="A42" s="3" t="str">
        <x:f>A14</x:f>
        <x:v>R&amp;D</x:v>
      </x:c>
      <x:c r="B42" s="3" t="str">
        <x:f>B14</x:f>
        <x:v>Select experiment method and location</x:v>
      </x:c>
      <x:c r="C42" s="36" t="n">
        <x:f>IF(AND(C$36&gt;=$F14,C$36&lt;=$G14),1,"")</x:f>
        <x:v>1</x:v>
      </x:c>
      <x:c r="D42" s="36" t="n">
        <x:f>IF(AND(D$36&gt;=$F14,D$36&lt;=$G14),1,"")</x:f>
        <x:v>1</x:v>
      </x:c>
      <x:c r="E42" s="36" t="n">
        <x:f>IF(AND(E$36&gt;=$F14,E$36&lt;=$G14),1,"")</x:f>
        <x:v>1</x:v>
      </x:c>
      <x:c r="F42" s="36" t="n">
        <x:f>IF(AND(F$36&gt;=$F14,F$36&lt;=$G14),1,"")</x:f>
        <x:v>1</x:v>
      </x:c>
      <x:c r="G42" s="36" t="n">
        <x:f>IF(AND(G$36&gt;=$F14,G$36&lt;=$G14),1,"")</x:f>
        <x:v>1</x:v>
      </x:c>
      <x:c r="H42" s="36" t="n">
        <x:f>IF(AND(H$36&gt;=$F14,H$36&lt;=$G14),1,"")</x:f>
        <x:v>1</x:v>
      </x:c>
      <x:c r="I42" s="36" t="n">
        <x:f>IF(AND(I$36&gt;=$F14,I$36&lt;=$G14),1,"")</x:f>
        <x:v>1</x:v>
      </x:c>
      <x:c r="J42" s="36" t="str">
        <x:f>IF(AND(J$36&gt;=$F14,J$36&lt;=$G14),1,"")</x:f>
      </x:c>
      <x:c r="K42" s="36" t="str">
        <x:f>IF(AND(K$36&gt;=$F14,K$36&lt;=$G14),1,"")</x:f>
      </x:c>
      <x:c r="L42" s="36" t="str">
        <x:f>IF(AND(L$36&gt;=$F14,L$36&lt;=$G14),1,"")</x:f>
      </x:c>
      <x:c r="M42" s="36" t="str">
        <x:f>IF(AND(M$36&gt;=$F14,M$36&lt;=$G14),1,"")</x:f>
      </x:c>
      <x:c r="N42" s="36" t="str">
        <x:f>IF(AND(N$36&gt;=$F14,N$36&lt;=$G14),1,"")</x:f>
      </x:c>
      <x:c r="O42" s="36" t="str">
        <x:f>IF(AND(O$36&gt;=$F14,O$36&lt;=$G14),1,"")</x:f>
      </x:c>
      <x:c r="P42" s="36" t="str">
        <x:f>IF(AND(P$36&gt;=$F14,P$36&lt;=$G14),1,"")</x:f>
      </x:c>
      <x:c r="Q42" s="36" t="str">
        <x:f>IF(AND(Q$36&gt;=$F14,Q$36&lt;=$G14),1,"")</x:f>
      </x:c>
      <x:c r="R42" s="36" t="str">
        <x:f>IF(AND(R$36&gt;=$F14,R$36&lt;=$G14),1,"")</x:f>
      </x:c>
      <x:c r="S42" s="36" t="str">
        <x:f>IF(AND(S$36&gt;=$F14,S$36&lt;=$G14),1,"")</x:f>
      </x:c>
      <x:c r="T42" s="36" t="str">
        <x:f>IF(AND(T$36&gt;=$F14,T$36&lt;=$G14),1,"")</x:f>
      </x:c>
      <x:c r="U42" s="36" t="str">
        <x:f>IF(AND(U$36&gt;=$F14,U$36&lt;=$G14),1,"")</x:f>
      </x:c>
      <x:c r="V42" s="36" t="str">
        <x:f>IF(AND(V$36&gt;=$F14,V$36&lt;=$G14),1,"")</x:f>
      </x:c>
      <x:c r="W42" s="36" t="str">
        <x:f>IF(AND(W$36&gt;=$F14,W$36&lt;=$G14),1,"")</x:f>
      </x:c>
      <x:c r="X42" s="36" t="str">
        <x:f>IF(AND(X$36&gt;=$F14,X$36&lt;=$G14),1,"")</x:f>
      </x:c>
      <x:c r="Y42" s="36" t="str">
        <x:f>IF(AND(Y$36&gt;=$F14,Y$36&lt;=$G14),1,"")</x:f>
      </x:c>
      <x:c r="Z42" s="36" t="str">
        <x:f>IF(AND(Z$36&gt;=$F14,Z$36&lt;=$G14),1,"")</x:f>
      </x:c>
      <x:c r="AA42" s="36" t="str">
        <x:f>IF(AND(AA$36&gt;=$F14,AA$36&lt;=$G14),1,"")</x:f>
      </x:c>
      <x:c r="AB42" s="36" t="str">
        <x:f>IF(AND(AB$36&gt;=$F14,AB$36&lt;=$G14),1,"")</x:f>
      </x:c>
      <x:c r="AC42" s="36" t="str">
        <x:f>IF(AND(AC$36&gt;=$F14,AC$36&lt;=$G14),1,"")</x:f>
      </x:c>
      <x:c r="AD42" s="36" t="str">
        <x:f>IF(AND(AD$36&gt;=$F14,AD$36&lt;=$G14),1,"")</x:f>
      </x:c>
      <x:c r="AE42" s="36" t="str">
        <x:f>IF(AND(AE$36&gt;=$F14,AE$36&lt;=$G14),1,"")</x:f>
      </x:c>
      <x:c r="AF42" s="36" t="str">
        <x:f>IF(AND(AF$36&gt;=$F14,AF$36&lt;=$G14),1,"")</x:f>
      </x:c>
      <x:c r="AG42" s="36" t="str">
        <x:f>IF(AND(AG$36&gt;=$F14,AG$36&lt;=$G14),1,"")</x:f>
      </x:c>
      <x:c r="AH42" s="36" t="str">
        <x:f>IF(AND(AH$36&gt;=$F14,AH$36&lt;=$G14),1,"")</x:f>
      </x:c>
      <x:c r="AI42" s="36" t="str">
        <x:f>IF(AND(AI$36&gt;=$F14,AI$36&lt;=$G14),1,"")</x:f>
      </x:c>
    </x:row>
    <x:row r="43" ht="34" customHeight="1">
      <x:c r="A43" s="3" t="str">
        <x:f>A15</x:f>
        <x:v>MVP</x:v>
      </x:c>
      <x:c r="B43" s="3" t="str">
        <x:f>B15</x:f>
        <x:v>Prepare functional, polished app demonstration</x:v>
      </x:c>
      <x:c r="C43" s="36" t="n">
        <x:f>IF(AND(C$36&gt;=$F15,C$36&lt;=$G15),1,"")</x:f>
        <x:v>1</x:v>
      </x:c>
      <x:c r="D43" s="36" t="n">
        <x:f>IF(AND(D$36&gt;=$F15,D$36&lt;=$G15),1,"")</x:f>
        <x:v>1</x:v>
      </x:c>
      <x:c r="E43" s="36" t="n">
        <x:f>IF(AND(E$36&gt;=$F15,E$36&lt;=$G15),1,"")</x:f>
        <x:v>1</x:v>
      </x:c>
      <x:c r="F43" s="36" t="n">
        <x:f>IF(AND(F$36&gt;=$F15,F$36&lt;=$G15),1,"")</x:f>
        <x:v>1</x:v>
      </x:c>
      <x:c r="G43" s="36" t="n">
        <x:f>IF(AND(G$36&gt;=$F15,G$36&lt;=$G15),1,"")</x:f>
        <x:v>1</x:v>
      </x:c>
      <x:c r="H43" s="36" t="n">
        <x:f>IF(AND(H$36&gt;=$F15,H$36&lt;=$G15),1,"")</x:f>
        <x:v>1</x:v>
      </x:c>
      <x:c r="I43" s="36" t="n">
        <x:f>IF(AND(I$36&gt;=$F15,I$36&lt;=$G15),1,"")</x:f>
        <x:v>1</x:v>
      </x:c>
      <x:c r="J43" s="36" t="n">
        <x:f>IF(AND(J$36&gt;=$F15,J$36&lt;=$G15),1,"")</x:f>
        <x:v>1</x:v>
      </x:c>
      <x:c r="K43" s="36" t="n">
        <x:f>IF(AND(K$36&gt;=$F15,K$36&lt;=$G15),1,"")</x:f>
        <x:v>1</x:v>
      </x:c>
      <x:c r="L43" s="36" t="n">
        <x:f>IF(AND(L$36&gt;=$F15,L$36&lt;=$G15),1,"")</x:f>
        <x:v>1</x:v>
      </x:c>
      <x:c r="M43" s="36" t="n">
        <x:f>IF(AND(M$36&gt;=$F15,M$36&lt;=$G15),1,"")</x:f>
        <x:v>1</x:v>
      </x:c>
      <x:c r="N43" s="36" t="n">
        <x:f>IF(AND(N$36&gt;=$F15,N$36&lt;=$G15),1,"")</x:f>
        <x:v>1</x:v>
      </x:c>
      <x:c r="O43" s="36" t="n">
        <x:f>IF(AND(O$36&gt;=$F15,O$36&lt;=$G15),1,"")</x:f>
        <x:v>1</x:v>
      </x:c>
      <x:c r="P43" s="36" t="n">
        <x:f>IF(AND(P$36&gt;=$F15,P$36&lt;=$G15),1,"")</x:f>
        <x:v>1</x:v>
      </x:c>
      <x:c r="Q43" s="36" t="n">
        <x:f>IF(AND(Q$36&gt;=$F15,Q$36&lt;=$G15),1,"")</x:f>
        <x:v>1</x:v>
      </x:c>
      <x:c r="R43" s="36" t="n">
        <x:f>IF(AND(R$36&gt;=$F15,R$36&lt;=$G15),1,"")</x:f>
        <x:v>1</x:v>
      </x:c>
      <x:c r="S43" s="36" t="n">
        <x:f>IF(AND(S$36&gt;=$F15,S$36&lt;=$G15),1,"")</x:f>
        <x:v>1</x:v>
      </x:c>
      <x:c r="T43" s="36" t="n">
        <x:f>IF(AND(T$36&gt;=$F15,T$36&lt;=$G15),1,"")</x:f>
        <x:v>1</x:v>
      </x:c>
      <x:c r="U43" s="36" t="n">
        <x:f>IF(AND(U$36&gt;=$F15,U$36&lt;=$G15),1,"")</x:f>
        <x:v>1</x:v>
      </x:c>
      <x:c r="V43" s="36" t="n">
        <x:f>IF(AND(V$36&gt;=$F15,V$36&lt;=$G15),1,"")</x:f>
        <x:v>1</x:v>
      </x:c>
      <x:c r="W43" s="36" t="n">
        <x:f>IF(AND(W$36&gt;=$F15,W$36&lt;=$G15),1,"")</x:f>
        <x:v>1</x:v>
      </x:c>
      <x:c r="X43" s="36" t="str">
        <x:f>IF(AND(X$36&gt;=$F15,X$36&lt;=$G15),1,"")</x:f>
      </x:c>
      <x:c r="Y43" s="36" t="str">
        <x:f>IF(AND(Y$36&gt;=$F15,Y$36&lt;=$G15),1,"")</x:f>
      </x:c>
      <x:c r="Z43" s="36" t="str">
        <x:f>IF(AND(Z$36&gt;=$F15,Z$36&lt;=$G15),1,"")</x:f>
      </x:c>
      <x:c r="AA43" s="36" t="str">
        <x:f>IF(AND(AA$36&gt;=$F15,AA$36&lt;=$G15),1,"")</x:f>
      </x:c>
      <x:c r="AB43" s="36" t="str">
        <x:f>IF(AND(AB$36&gt;=$F15,AB$36&lt;=$G15),1,"")</x:f>
      </x:c>
      <x:c r="AC43" s="36" t="str">
        <x:f>IF(AND(AC$36&gt;=$F15,AC$36&lt;=$G15),1,"")</x:f>
      </x:c>
      <x:c r="AD43" s="36" t="str">
        <x:f>IF(AND(AD$36&gt;=$F15,AD$36&lt;=$G15),1,"")</x:f>
      </x:c>
      <x:c r="AE43" s="36" t="str">
        <x:f>IF(AND(AE$36&gt;=$F15,AE$36&lt;=$G15),1,"")</x:f>
      </x:c>
      <x:c r="AF43" s="36" t="str">
        <x:f>IF(AND(AF$36&gt;=$F15,AF$36&lt;=$G15),1,"")</x:f>
      </x:c>
      <x:c r="AG43" s="36" t="str">
        <x:f>IF(AND(AG$36&gt;=$F15,AG$36&lt;=$G15),1,"")</x:f>
      </x:c>
      <x:c r="AH43" s="36" t="str">
        <x:f>IF(AND(AH$36&gt;=$F15,AH$36&lt;=$G15),1,"")</x:f>
      </x:c>
      <x:c r="AI43" s="36" t="str">
        <x:f>IF(AND(AI$36&gt;=$F15,AI$36&lt;=$G15),1,"")</x:f>
      </x:c>
    </x:row>
    <x:row r="44" ht="34" customHeight="1">
      <x:c r="A44" s="3" t="str">
        <x:f>A16</x:f>
        <x:v>PILOT</x:v>
      </x:c>
      <x:c r="B44" s="3" t="str">
        <x:f>B16</x:f>
        <x:v>Agree vendor operating arrangement</x:v>
      </x:c>
      <x:c r="C44" s="36" t="str">
        <x:f>IF(AND(C$36&gt;=$F16,C$36&lt;=$G16),1,"")</x:f>
      </x:c>
      <x:c r="D44" s="36" t="str">
        <x:f>IF(AND(D$36&gt;=$F16,D$36&lt;=$G16),1,"")</x:f>
      </x:c>
      <x:c r="E44" s="36" t="str">
        <x:f>IF(AND(E$36&gt;=$F16,E$36&lt;=$G16),1,"")</x:f>
      </x:c>
      <x:c r="F44" s="36" t="str">
        <x:f>IF(AND(F$36&gt;=$F16,F$36&lt;=$G16),1,"")</x:f>
      </x:c>
      <x:c r="G44" s="36" t="str">
        <x:f>IF(AND(G$36&gt;=$F16,G$36&lt;=$G16),1,"")</x:f>
      </x:c>
      <x:c r="H44" s="36" t="str">
        <x:f>IF(AND(H$36&gt;=$F16,H$36&lt;=$G16),1,"")</x:f>
      </x:c>
      <x:c r="I44" s="36" t="str">
        <x:f>IF(AND(I$36&gt;=$F16,I$36&lt;=$G16),1,"")</x:f>
      </x:c>
      <x:c r="J44" s="36" t="n">
        <x:f>IF(AND(J$36&gt;=$F16,J$36&lt;=$G16),1,"")</x:f>
        <x:v>1</x:v>
      </x:c>
      <x:c r="K44" s="36" t="n">
        <x:f>IF(AND(K$36&gt;=$F16,K$36&lt;=$G16),1,"")</x:f>
        <x:v>1</x:v>
      </x:c>
      <x:c r="L44" s="36" t="n">
        <x:f>IF(AND(L$36&gt;=$F16,L$36&lt;=$G16),1,"")</x:f>
        <x:v>1</x:v>
      </x:c>
      <x:c r="M44" s="36" t="str">
        <x:f>IF(AND(M$36&gt;=$F16,M$36&lt;=$G16),1,"")</x:f>
      </x:c>
      <x:c r="N44" s="36" t="str">
        <x:f>IF(AND(N$36&gt;=$F16,N$36&lt;=$G16),1,"")</x:f>
      </x:c>
      <x:c r="O44" s="36" t="str">
        <x:f>IF(AND(O$36&gt;=$F16,O$36&lt;=$G16),1,"")</x:f>
      </x:c>
      <x:c r="P44" s="36" t="str">
        <x:f>IF(AND(P$36&gt;=$F16,P$36&lt;=$G16),1,"")</x:f>
      </x:c>
      <x:c r="Q44" s="36" t="str">
        <x:f>IF(AND(Q$36&gt;=$F16,Q$36&lt;=$G16),1,"")</x:f>
      </x:c>
      <x:c r="R44" s="36" t="str">
        <x:f>IF(AND(R$36&gt;=$F16,R$36&lt;=$G16),1,"")</x:f>
      </x:c>
      <x:c r="S44" s="36" t="str">
        <x:f>IF(AND(S$36&gt;=$F16,S$36&lt;=$G16),1,"")</x:f>
      </x:c>
      <x:c r="T44" s="36" t="str">
        <x:f>IF(AND(T$36&gt;=$F16,T$36&lt;=$G16),1,"")</x:f>
      </x:c>
      <x:c r="U44" s="36" t="str">
        <x:f>IF(AND(U$36&gt;=$F16,U$36&lt;=$G16),1,"")</x:f>
      </x:c>
      <x:c r="V44" s="36" t="str">
        <x:f>IF(AND(V$36&gt;=$F16,V$36&lt;=$G16),1,"")</x:f>
      </x:c>
      <x:c r="W44" s="36" t="str">
        <x:f>IF(AND(W$36&gt;=$F16,W$36&lt;=$G16),1,"")</x:f>
      </x:c>
      <x:c r="X44" s="36" t="str">
        <x:f>IF(AND(X$36&gt;=$F16,X$36&lt;=$G16),1,"")</x:f>
      </x:c>
      <x:c r="Y44" s="36" t="str">
        <x:f>IF(AND(Y$36&gt;=$F16,Y$36&lt;=$G16),1,"")</x:f>
      </x:c>
      <x:c r="Z44" s="36" t="str">
        <x:f>IF(AND(Z$36&gt;=$F16,Z$36&lt;=$G16),1,"")</x:f>
      </x:c>
      <x:c r="AA44" s="36" t="str">
        <x:f>IF(AND(AA$36&gt;=$F16,AA$36&lt;=$G16),1,"")</x:f>
      </x:c>
      <x:c r="AB44" s="36" t="str">
        <x:f>IF(AND(AB$36&gt;=$F16,AB$36&lt;=$G16),1,"")</x:f>
      </x:c>
      <x:c r="AC44" s="36" t="str">
        <x:f>IF(AND(AC$36&gt;=$F16,AC$36&lt;=$G16),1,"")</x:f>
      </x:c>
      <x:c r="AD44" s="36" t="str">
        <x:f>IF(AND(AD$36&gt;=$F16,AD$36&lt;=$G16),1,"")</x:f>
      </x:c>
      <x:c r="AE44" s="36" t="str">
        <x:f>IF(AND(AE$36&gt;=$F16,AE$36&lt;=$G16),1,"")</x:f>
      </x:c>
      <x:c r="AF44" s="36" t="str">
        <x:f>IF(AND(AF$36&gt;=$F16,AF$36&lt;=$G16),1,"")</x:f>
      </x:c>
      <x:c r="AG44" s="36" t="str">
        <x:f>IF(AND(AG$36&gt;=$F16,AG$36&lt;=$G16),1,"")</x:f>
      </x:c>
      <x:c r="AH44" s="36" t="str">
        <x:f>IF(AND(AH$36&gt;=$F16,AH$36&lt;=$G16),1,"")</x:f>
      </x:c>
      <x:c r="AI44" s="36" t="str">
        <x:f>IF(AND(AI$36&gt;=$F16,AI$36&lt;=$G16),1,"")</x:f>
      </x:c>
    </x:row>
    <x:row r="45" ht="34" customHeight="1">
      <x:c r="A45" s="3" t="str">
        <x:f>A17</x:f>
        <x:v>PILOT</x:v>
      </x:c>
      <x:c r="B45" s="3" t="str">
        <x:f>B17</x:f>
        <x:v>Promote Telegram reservation pilot</x:v>
      </x:c>
      <x:c r="C45" s="36" t="str">
        <x:f>IF(AND(C$36&gt;=$F17,C$36&lt;=$G17),1,"")</x:f>
      </x:c>
      <x:c r="D45" s="36" t="str">
        <x:f>IF(AND(D$36&gt;=$F17,D$36&lt;=$G17),1,"")</x:f>
      </x:c>
      <x:c r="E45" s="36" t="str">
        <x:f>IF(AND(E$36&gt;=$F17,E$36&lt;=$G17),1,"")</x:f>
      </x:c>
      <x:c r="F45" s="36" t="str">
        <x:f>IF(AND(F$36&gt;=$F17,F$36&lt;=$G17),1,"")</x:f>
      </x:c>
      <x:c r="G45" s="36" t="str">
        <x:f>IF(AND(G$36&gt;=$F17,G$36&lt;=$G17),1,"")</x:f>
      </x:c>
      <x:c r="H45" s="36" t="str">
        <x:f>IF(AND(H$36&gt;=$F17,H$36&lt;=$G17),1,"")</x:f>
      </x:c>
      <x:c r="I45" s="36" t="str">
        <x:f>IF(AND(I$36&gt;=$F17,I$36&lt;=$G17),1,"")</x:f>
      </x:c>
      <x:c r="J45" s="36" t="str">
        <x:f>IF(AND(J$36&gt;=$F17,J$36&lt;=$G17),1,"")</x:f>
      </x:c>
      <x:c r="K45" s="36" t="str">
        <x:f>IF(AND(K$36&gt;=$F17,K$36&lt;=$G17),1,"")</x:f>
      </x:c>
      <x:c r="L45" s="36" t="str">
        <x:f>IF(AND(L$36&gt;=$F17,L$36&lt;=$G17),1,"")</x:f>
      </x:c>
      <x:c r="M45" s="36" t="n">
        <x:f>IF(AND(M$36&gt;=$F17,M$36&lt;=$G17),1,"")</x:f>
        <x:v>1</x:v>
      </x:c>
      <x:c r="N45" s="36" t="n">
        <x:f>IF(AND(N$36&gt;=$F17,N$36&lt;=$G17),1,"")</x:f>
        <x:v>1</x:v>
      </x:c>
      <x:c r="O45" s="36" t="n">
        <x:f>IF(AND(O$36&gt;=$F17,O$36&lt;=$G17),1,"")</x:f>
        <x:v>1</x:v>
      </x:c>
      <x:c r="P45" s="36" t="n">
        <x:f>IF(AND(P$36&gt;=$F17,P$36&lt;=$G17),1,"")</x:f>
        <x:v>1</x:v>
      </x:c>
      <x:c r="Q45" s="36" t="str">
        <x:f>IF(AND(Q$36&gt;=$F17,Q$36&lt;=$G17),1,"")</x:f>
      </x:c>
      <x:c r="R45" s="36" t="str">
        <x:f>IF(AND(R$36&gt;=$F17,R$36&lt;=$G17),1,"")</x:f>
      </x:c>
      <x:c r="S45" s="36" t="str">
        <x:f>IF(AND(S$36&gt;=$F17,S$36&lt;=$G17),1,"")</x:f>
      </x:c>
      <x:c r="T45" s="36" t="str">
        <x:f>IF(AND(T$36&gt;=$F17,T$36&lt;=$G17),1,"")</x:f>
      </x:c>
      <x:c r="U45" s="36" t="str">
        <x:f>IF(AND(U$36&gt;=$F17,U$36&lt;=$G17),1,"")</x:f>
      </x:c>
      <x:c r="V45" s="36" t="str">
        <x:f>IF(AND(V$36&gt;=$F17,V$36&lt;=$G17),1,"")</x:f>
      </x:c>
      <x:c r="W45" s="36" t="str">
        <x:f>IF(AND(W$36&gt;=$F17,W$36&lt;=$G17),1,"")</x:f>
      </x:c>
      <x:c r="X45" s="36" t="str">
        <x:f>IF(AND(X$36&gt;=$F17,X$36&lt;=$G17),1,"")</x:f>
      </x:c>
      <x:c r="Y45" s="36" t="str">
        <x:f>IF(AND(Y$36&gt;=$F17,Y$36&lt;=$G17),1,"")</x:f>
      </x:c>
      <x:c r="Z45" s="36" t="str">
        <x:f>IF(AND(Z$36&gt;=$F17,Z$36&lt;=$G17),1,"")</x:f>
      </x:c>
      <x:c r="AA45" s="36" t="str">
        <x:f>IF(AND(AA$36&gt;=$F17,AA$36&lt;=$G17),1,"")</x:f>
      </x:c>
      <x:c r="AB45" s="36" t="str">
        <x:f>IF(AND(AB$36&gt;=$F17,AB$36&lt;=$G17),1,"")</x:f>
      </x:c>
      <x:c r="AC45" s="36" t="str">
        <x:f>IF(AND(AC$36&gt;=$F17,AC$36&lt;=$G17),1,"")</x:f>
      </x:c>
      <x:c r="AD45" s="36" t="str">
        <x:f>IF(AND(AD$36&gt;=$F17,AD$36&lt;=$G17),1,"")</x:f>
      </x:c>
      <x:c r="AE45" s="36" t="str">
        <x:f>IF(AND(AE$36&gt;=$F17,AE$36&lt;=$G17),1,"")</x:f>
      </x:c>
      <x:c r="AF45" s="36" t="str">
        <x:f>IF(AND(AF$36&gt;=$F17,AF$36&lt;=$G17),1,"")</x:f>
      </x:c>
      <x:c r="AG45" s="36" t="str">
        <x:f>IF(AND(AG$36&gt;=$F17,AG$36&lt;=$G17),1,"")</x:f>
      </x:c>
      <x:c r="AH45" s="36" t="str">
        <x:f>IF(AND(AH$36&gt;=$F17,AH$36&lt;=$G17),1,"")</x:f>
      </x:c>
      <x:c r="AI45" s="36" t="str">
        <x:f>IF(AND(AI$36&gt;=$F17,AI$36&lt;=$G17),1,"")</x:f>
      </x:c>
    </x:row>
    <x:row r="46" ht="34" customHeight="1">
      <x:c r="A46" s="3" t="str">
        <x:f>A18</x:f>
        <x:v>PILOT</x:v>
      </x:c>
      <x:c r="B46" s="3" t="str">
        <x:f>B18</x:f>
        <x:v>Run paid meal collections and reconcile fees</x:v>
      </x:c>
      <x:c r="C46" s="36" t="str">
        <x:f>IF(AND(C$36&gt;=$F18,C$36&lt;=$G18),1,"")</x:f>
      </x:c>
      <x:c r="D46" s="36" t="str">
        <x:f>IF(AND(D$36&gt;=$F18,D$36&lt;=$G18),1,"")</x:f>
      </x:c>
      <x:c r="E46" s="36" t="str">
        <x:f>IF(AND(E$36&gt;=$F18,E$36&lt;=$G18),1,"")</x:f>
      </x:c>
      <x:c r="F46" s="36" t="str">
        <x:f>IF(AND(F$36&gt;=$F18,F$36&lt;=$G18),1,"")</x:f>
      </x:c>
      <x:c r="G46" s="36" t="str">
        <x:f>IF(AND(G$36&gt;=$F18,G$36&lt;=$G18),1,"")</x:f>
      </x:c>
      <x:c r="H46" s="36" t="str">
        <x:f>IF(AND(H$36&gt;=$F18,H$36&lt;=$G18),1,"")</x:f>
      </x:c>
      <x:c r="I46" s="36" t="str">
        <x:f>IF(AND(I$36&gt;=$F18,I$36&lt;=$G18),1,"")</x:f>
      </x:c>
      <x:c r="J46" s="36" t="str">
        <x:f>IF(AND(J$36&gt;=$F18,J$36&lt;=$G18),1,"")</x:f>
      </x:c>
      <x:c r="K46" s="36" t="str">
        <x:f>IF(AND(K$36&gt;=$F18,K$36&lt;=$G18),1,"")</x:f>
      </x:c>
      <x:c r="L46" s="36" t="str">
        <x:f>IF(AND(L$36&gt;=$F18,L$36&lt;=$G18),1,"")</x:f>
      </x:c>
      <x:c r="M46" s="36" t="str">
        <x:f>IF(AND(M$36&gt;=$F18,M$36&lt;=$G18),1,"")</x:f>
      </x:c>
      <x:c r="N46" s="36" t="str">
        <x:f>IF(AND(N$36&gt;=$F18,N$36&lt;=$G18),1,"")</x:f>
      </x:c>
      <x:c r="O46" s="36" t="str">
        <x:f>IF(AND(O$36&gt;=$F18,O$36&lt;=$G18),1,"")</x:f>
      </x:c>
      <x:c r="P46" s="36" t="str">
        <x:f>IF(AND(P$36&gt;=$F18,P$36&lt;=$G18),1,"")</x:f>
      </x:c>
      <x:c r="Q46" s="36" t="n">
        <x:f>IF(AND(Q$36&gt;=$F18,Q$36&lt;=$G18),1,"")</x:f>
        <x:v>1</x:v>
      </x:c>
      <x:c r="R46" s="36" t="n">
        <x:f>IF(AND(R$36&gt;=$F18,R$36&lt;=$G18),1,"")</x:f>
        <x:v>1</x:v>
      </x:c>
      <x:c r="S46" s="36" t="n">
        <x:f>IF(AND(S$36&gt;=$F18,S$36&lt;=$G18),1,"")</x:f>
        <x:v>1</x:v>
      </x:c>
      <x:c r="T46" s="36" t="n">
        <x:f>IF(AND(T$36&gt;=$F18,T$36&lt;=$G18),1,"")</x:f>
        <x:v>1</x:v>
      </x:c>
      <x:c r="U46" s="36" t="n">
        <x:f>IF(AND(U$36&gt;=$F18,U$36&lt;=$G18),1,"")</x:f>
        <x:v>1</x:v>
      </x:c>
      <x:c r="V46" s="36" t="n">
        <x:f>IF(AND(V$36&gt;=$F18,V$36&lt;=$G18),1,"")</x:f>
        <x:v>1</x:v>
      </x:c>
      <x:c r="W46" s="36" t="n">
        <x:f>IF(AND(W$36&gt;=$F18,W$36&lt;=$G18),1,"")</x:f>
        <x:v>1</x:v>
      </x:c>
      <x:c r="X46" s="36" t="str">
        <x:f>IF(AND(X$36&gt;=$F18,X$36&lt;=$G18),1,"")</x:f>
      </x:c>
      <x:c r="Y46" s="36" t="str">
        <x:f>IF(AND(Y$36&gt;=$F18,Y$36&lt;=$G18),1,"")</x:f>
      </x:c>
      <x:c r="Z46" s="36" t="str">
        <x:f>IF(AND(Z$36&gt;=$F18,Z$36&lt;=$G18),1,"")</x:f>
      </x:c>
      <x:c r="AA46" s="36" t="str">
        <x:f>IF(AND(AA$36&gt;=$F18,AA$36&lt;=$G18),1,"")</x:f>
      </x:c>
      <x:c r="AB46" s="36" t="str">
        <x:f>IF(AND(AB$36&gt;=$F18,AB$36&lt;=$G18),1,"")</x:f>
      </x:c>
      <x:c r="AC46" s="36" t="str">
        <x:f>IF(AND(AC$36&gt;=$F18,AC$36&lt;=$G18),1,"")</x:f>
      </x:c>
      <x:c r="AD46" s="36" t="str">
        <x:f>IF(AND(AD$36&gt;=$F18,AD$36&lt;=$G18),1,"")</x:f>
      </x:c>
      <x:c r="AE46" s="36" t="str">
        <x:f>IF(AND(AE$36&gt;=$F18,AE$36&lt;=$G18),1,"")</x:f>
      </x:c>
      <x:c r="AF46" s="36" t="str">
        <x:f>IF(AND(AF$36&gt;=$F18,AF$36&lt;=$G18),1,"")</x:f>
      </x:c>
      <x:c r="AG46" s="36" t="str">
        <x:f>IF(AND(AG$36&gt;=$F18,AG$36&lt;=$G18),1,"")</x:f>
      </x:c>
      <x:c r="AH46" s="36" t="str">
        <x:f>IF(AND(AH$36&gt;=$F18,AH$36&lt;=$G18),1,"")</x:f>
      </x:c>
      <x:c r="AI46" s="36" t="str">
        <x:f>IF(AND(AI$36&gt;=$F18,AI$36&lt;=$G18),1,"")</x:f>
      </x:c>
    </x:row>
    <x:row r="47" ht="34" customHeight="1">
      <x:c r="A47" s="3" t="str">
        <x:f>A19</x:f>
        <x:v>R&amp;D</x:v>
      </x:c>
      <x:c r="B47" s="3" t="str">
        <x:f>B19</x:f>
        <x:v>Run and document purchased-material experiment</x:v>
      </x:c>
      <x:c r="C47" s="36" t="str">
        <x:f>IF(AND(C$36&gt;=$F19,C$36&lt;=$G19),1,"")</x:f>
      </x:c>
      <x:c r="D47" s="36" t="str">
        <x:f>IF(AND(D$36&gt;=$F19,D$36&lt;=$G19),1,"")</x:f>
      </x:c>
      <x:c r="E47" s="36" t="str">
        <x:f>IF(AND(E$36&gt;=$F19,E$36&lt;=$G19),1,"")</x:f>
      </x:c>
      <x:c r="F47" s="36" t="str">
        <x:f>IF(AND(F$36&gt;=$F19,F$36&lt;=$G19),1,"")</x:f>
      </x:c>
      <x:c r="G47" s="36" t="str">
        <x:f>IF(AND(G$36&gt;=$F19,G$36&lt;=$G19),1,"")</x:f>
      </x:c>
      <x:c r="H47" s="36" t="str">
        <x:f>IF(AND(H$36&gt;=$F19,H$36&lt;=$G19),1,"")</x:f>
      </x:c>
      <x:c r="I47" s="36" t="str">
        <x:f>IF(AND(I$36&gt;=$F19,I$36&lt;=$G19),1,"")</x:f>
      </x:c>
      <x:c r="J47" s="36" t="n">
        <x:f>IF(AND(J$36&gt;=$F19,J$36&lt;=$G19),1,"")</x:f>
        <x:v>1</x:v>
      </x:c>
      <x:c r="K47" s="36" t="n">
        <x:f>IF(AND(K$36&gt;=$F19,K$36&lt;=$G19),1,"")</x:f>
        <x:v>1</x:v>
      </x:c>
      <x:c r="L47" s="36" t="n">
        <x:f>IF(AND(L$36&gt;=$F19,L$36&lt;=$G19),1,"")</x:f>
        <x:v>1</x:v>
      </x:c>
      <x:c r="M47" s="36" t="n">
        <x:f>IF(AND(M$36&gt;=$F19,M$36&lt;=$G19),1,"")</x:f>
        <x:v>1</x:v>
      </x:c>
      <x:c r="N47" s="36" t="n">
        <x:f>IF(AND(N$36&gt;=$F19,N$36&lt;=$G19),1,"")</x:f>
        <x:v>1</x:v>
      </x:c>
      <x:c r="O47" s="36" t="n">
        <x:f>IF(AND(O$36&gt;=$F19,O$36&lt;=$G19),1,"")</x:f>
        <x:v>1</x:v>
      </x:c>
      <x:c r="P47" s="36" t="n">
        <x:f>IF(AND(P$36&gt;=$F19,P$36&lt;=$G19),1,"")</x:f>
        <x:v>1</x:v>
      </x:c>
      <x:c r="Q47" s="36" t="n">
        <x:f>IF(AND(Q$36&gt;=$F19,Q$36&lt;=$G19),1,"")</x:f>
        <x:v>1</x:v>
      </x:c>
      <x:c r="R47" s="36" t="n">
        <x:f>IF(AND(R$36&gt;=$F19,R$36&lt;=$G19),1,"")</x:f>
        <x:v>1</x:v>
      </x:c>
      <x:c r="S47" s="36" t="n">
        <x:f>IF(AND(S$36&gt;=$F19,S$36&lt;=$G19),1,"")</x:f>
        <x:v>1</x:v>
      </x:c>
      <x:c r="T47" s="36" t="n">
        <x:f>IF(AND(T$36&gt;=$F19,T$36&lt;=$G19),1,"")</x:f>
        <x:v>1</x:v>
      </x:c>
      <x:c r="U47" s="36" t="n">
        <x:f>IF(AND(U$36&gt;=$F19,U$36&lt;=$G19),1,"")</x:f>
        <x:v>1</x:v>
      </x:c>
      <x:c r="V47" s="36" t="n">
        <x:f>IF(AND(V$36&gt;=$F19,V$36&lt;=$G19),1,"")</x:f>
        <x:v>1</x:v>
      </x:c>
      <x:c r="W47" s="36" t="n">
        <x:f>IF(AND(W$36&gt;=$F19,W$36&lt;=$G19),1,"")</x:f>
        <x:v>1</x:v>
      </x:c>
      <x:c r="X47" s="36" t="str">
        <x:f>IF(AND(X$36&gt;=$F19,X$36&lt;=$G19),1,"")</x:f>
      </x:c>
      <x:c r="Y47" s="36" t="str">
        <x:f>IF(AND(Y$36&gt;=$F19,Y$36&lt;=$G19),1,"")</x:f>
      </x:c>
      <x:c r="Z47" s="36" t="str">
        <x:f>IF(AND(Z$36&gt;=$F19,Z$36&lt;=$G19),1,"")</x:f>
      </x:c>
      <x:c r="AA47" s="36" t="str">
        <x:f>IF(AND(AA$36&gt;=$F19,AA$36&lt;=$G19),1,"")</x:f>
      </x:c>
      <x:c r="AB47" s="36" t="str">
        <x:f>IF(AND(AB$36&gt;=$F19,AB$36&lt;=$G19),1,"")</x:f>
      </x:c>
      <x:c r="AC47" s="36" t="str">
        <x:f>IF(AND(AC$36&gt;=$F19,AC$36&lt;=$G19),1,"")</x:f>
      </x:c>
      <x:c r="AD47" s="36" t="str">
        <x:f>IF(AND(AD$36&gt;=$F19,AD$36&lt;=$G19),1,"")</x:f>
      </x:c>
      <x:c r="AE47" s="36" t="str">
        <x:f>IF(AND(AE$36&gt;=$F19,AE$36&lt;=$G19),1,"")</x:f>
      </x:c>
      <x:c r="AF47" s="36" t="str">
        <x:f>IF(AND(AF$36&gt;=$F19,AF$36&lt;=$G19),1,"")</x:f>
      </x:c>
      <x:c r="AG47" s="36" t="str">
        <x:f>IF(AND(AG$36&gt;=$F19,AG$36&lt;=$G19),1,"")</x:f>
      </x:c>
      <x:c r="AH47" s="36" t="str">
        <x:f>IF(AND(AH$36&gt;=$F19,AH$36&lt;=$G19),1,"")</x:f>
      </x:c>
      <x:c r="AI47" s="36" t="str">
        <x:f>IF(AND(AI$36&gt;=$F19,AI$36&lt;=$G19),1,"")</x:f>
      </x:c>
    </x:row>
    <x:row r="48" ht="34" customHeight="1">
      <x:c r="A48" s="3" t="str">
        <x:f>A20</x:f>
        <x:v>BRAND</x:v>
      </x:c>
      <x:c r="B48" s="3" t="str">
        <x:f>B20</x:f>
        <x:v>Source and prepare physical sample packaging</x:v>
      </x:c>
      <x:c r="C48" s="36" t="str">
        <x:f>IF(AND(C$36&gt;=$F20,C$36&lt;=$G20),1,"")</x:f>
      </x:c>
      <x:c r="D48" s="36" t="str">
        <x:f>IF(AND(D$36&gt;=$F20,D$36&lt;=$G20),1,"")</x:f>
      </x:c>
      <x:c r="E48" s="36" t="str">
        <x:f>IF(AND(E$36&gt;=$F20,E$36&lt;=$G20),1,"")</x:f>
      </x:c>
      <x:c r="F48" s="36" t="str">
        <x:f>IF(AND(F$36&gt;=$F20,F$36&lt;=$G20),1,"")</x:f>
      </x:c>
      <x:c r="G48" s="36" t="str">
        <x:f>IF(AND(G$36&gt;=$F20,G$36&lt;=$G20),1,"")</x:f>
      </x:c>
      <x:c r="H48" s="36" t="str">
        <x:f>IF(AND(H$36&gt;=$F20,H$36&lt;=$G20),1,"")</x:f>
      </x:c>
      <x:c r="I48" s="36" t="str">
        <x:f>IF(AND(I$36&gt;=$F20,I$36&lt;=$G20),1,"")</x:f>
      </x:c>
      <x:c r="J48" s="36" t="n">
        <x:f>IF(AND(J$36&gt;=$F20,J$36&lt;=$G20),1,"")</x:f>
        <x:v>1</x:v>
      </x:c>
      <x:c r="K48" s="36" t="n">
        <x:f>IF(AND(K$36&gt;=$F20,K$36&lt;=$G20),1,"")</x:f>
        <x:v>1</x:v>
      </x:c>
      <x:c r="L48" s="36" t="n">
        <x:f>IF(AND(L$36&gt;=$F20,L$36&lt;=$G20),1,"")</x:f>
        <x:v>1</x:v>
      </x:c>
      <x:c r="M48" s="36" t="n">
        <x:f>IF(AND(M$36&gt;=$F20,M$36&lt;=$G20),1,"")</x:f>
        <x:v>1</x:v>
      </x:c>
      <x:c r="N48" s="36" t="n">
        <x:f>IF(AND(N$36&gt;=$F20,N$36&lt;=$G20),1,"")</x:f>
        <x:v>1</x:v>
      </x:c>
      <x:c r="O48" s="36" t="n">
        <x:f>IF(AND(O$36&gt;=$F20,O$36&lt;=$G20),1,"")</x:f>
        <x:v>1</x:v>
      </x:c>
      <x:c r="P48" s="36" t="n">
        <x:f>IF(AND(P$36&gt;=$F20,P$36&lt;=$G20),1,"")</x:f>
        <x:v>1</x:v>
      </x:c>
      <x:c r="Q48" s="36" t="n">
        <x:f>IF(AND(Q$36&gt;=$F20,Q$36&lt;=$G20),1,"")</x:f>
        <x:v>1</x:v>
      </x:c>
      <x:c r="R48" s="36" t="n">
        <x:f>IF(AND(R$36&gt;=$F20,R$36&lt;=$G20),1,"")</x:f>
        <x:v>1</x:v>
      </x:c>
      <x:c r="S48" s="36" t="n">
        <x:f>IF(AND(S$36&gt;=$F20,S$36&lt;=$G20),1,"")</x:f>
        <x:v>1</x:v>
      </x:c>
      <x:c r="T48" s="36" t="n">
        <x:f>IF(AND(T$36&gt;=$F20,T$36&lt;=$G20),1,"")</x:f>
        <x:v>1</x:v>
      </x:c>
      <x:c r="U48" s="36" t="n">
        <x:f>IF(AND(U$36&gt;=$F20,U$36&lt;=$G20),1,"")</x:f>
        <x:v>1</x:v>
      </x:c>
      <x:c r="V48" s="36" t="n">
        <x:f>IF(AND(V$36&gt;=$F20,V$36&lt;=$G20),1,"")</x:f>
        <x:v>1</x:v>
      </x:c>
      <x:c r="W48" s="36" t="n">
        <x:f>IF(AND(W$36&gt;=$F20,W$36&lt;=$G20),1,"")</x:f>
        <x:v>1</x:v>
      </x:c>
      <x:c r="X48" s="36" t="str">
        <x:f>IF(AND(X$36&gt;=$F20,X$36&lt;=$G20),1,"")</x:f>
      </x:c>
      <x:c r="Y48" s="36" t="str">
        <x:f>IF(AND(Y$36&gt;=$F20,Y$36&lt;=$G20),1,"")</x:f>
      </x:c>
      <x:c r="Z48" s="36" t="str">
        <x:f>IF(AND(Z$36&gt;=$F20,Z$36&lt;=$G20),1,"")</x:f>
      </x:c>
      <x:c r="AA48" s="36" t="str">
        <x:f>IF(AND(AA$36&gt;=$F20,AA$36&lt;=$G20),1,"")</x:f>
      </x:c>
      <x:c r="AB48" s="36" t="str">
        <x:f>IF(AND(AB$36&gt;=$F20,AB$36&lt;=$G20),1,"")</x:f>
      </x:c>
      <x:c r="AC48" s="36" t="str">
        <x:f>IF(AND(AC$36&gt;=$F20,AC$36&lt;=$G20),1,"")</x:f>
      </x:c>
      <x:c r="AD48" s="36" t="str">
        <x:f>IF(AND(AD$36&gt;=$F20,AD$36&lt;=$G20),1,"")</x:f>
      </x:c>
      <x:c r="AE48" s="36" t="str">
        <x:f>IF(AND(AE$36&gt;=$F20,AE$36&lt;=$G20),1,"")</x:f>
      </x:c>
      <x:c r="AF48" s="36" t="str">
        <x:f>IF(AND(AF$36&gt;=$F20,AF$36&lt;=$G20),1,"")</x:f>
      </x:c>
      <x:c r="AG48" s="36" t="str">
        <x:f>IF(AND(AG$36&gt;=$F20,AG$36&lt;=$G20),1,"")</x:f>
      </x:c>
      <x:c r="AH48" s="36" t="str">
        <x:f>IF(AND(AH$36&gt;=$F20,AH$36&lt;=$G20),1,"")</x:f>
      </x:c>
      <x:c r="AI48" s="36" t="str">
        <x:f>IF(AND(AI$36&gt;=$F20,AI$36&lt;=$G20),1,"")</x:f>
      </x:c>
    </x:row>
    <x:row r="49" ht="34" customHeight="1">
      <x:c r="A49" s="3" t="str">
        <x:f>A21</x:f>
        <x:v>DISCOVERY</x:v>
      </x:c>
      <x:c r="B49" s="3" t="str">
        <x:f>B21</x:f>
        <x:v>Interview potential campus fertilizer users</x:v>
      </x:c>
      <x:c r="C49" s="36" t="str">
        <x:f>IF(AND(C$36&gt;=$F21,C$36&lt;=$G21),1,"")</x:f>
      </x:c>
      <x:c r="D49" s="36" t="str">
        <x:f>IF(AND(D$36&gt;=$F21,D$36&lt;=$G21),1,"")</x:f>
      </x:c>
      <x:c r="E49" s="36" t="str">
        <x:f>IF(AND(E$36&gt;=$F21,E$36&lt;=$G21),1,"")</x:f>
      </x:c>
      <x:c r="F49" s="36" t="str">
        <x:f>IF(AND(F$36&gt;=$F21,F$36&lt;=$G21),1,"")</x:f>
      </x:c>
      <x:c r="G49" s="36" t="str">
        <x:f>IF(AND(G$36&gt;=$F21,G$36&lt;=$G21),1,"")</x:f>
      </x:c>
      <x:c r="H49" s="36" t="str">
        <x:f>IF(AND(H$36&gt;=$F21,H$36&lt;=$G21),1,"")</x:f>
      </x:c>
      <x:c r="I49" s="36" t="str">
        <x:f>IF(AND(I$36&gt;=$F21,I$36&lt;=$G21),1,"")</x:f>
      </x:c>
      <x:c r="J49" s="36" t="str">
        <x:f>IF(AND(J$36&gt;=$F21,J$36&lt;=$G21),1,"")</x:f>
      </x:c>
      <x:c r="K49" s="36" t="str">
        <x:f>IF(AND(K$36&gt;=$F21,K$36&lt;=$G21),1,"")</x:f>
      </x:c>
      <x:c r="L49" s="36" t="str">
        <x:f>IF(AND(L$36&gt;=$F21,L$36&lt;=$G21),1,"")</x:f>
      </x:c>
      <x:c r="M49" s="36" t="n">
        <x:f>IF(AND(M$36&gt;=$F21,M$36&lt;=$G21),1,"")</x:f>
        <x:v>1</x:v>
      </x:c>
      <x:c r="N49" s="36" t="n">
        <x:f>IF(AND(N$36&gt;=$F21,N$36&lt;=$G21),1,"")</x:f>
        <x:v>1</x:v>
      </x:c>
      <x:c r="O49" s="36" t="n">
        <x:f>IF(AND(O$36&gt;=$F21,O$36&lt;=$G21),1,"")</x:f>
        <x:v>1</x:v>
      </x:c>
      <x:c r="P49" s="36" t="n">
        <x:f>IF(AND(P$36&gt;=$F21,P$36&lt;=$G21),1,"")</x:f>
        <x:v>1</x:v>
      </x:c>
      <x:c r="Q49" s="36" t="n">
        <x:f>IF(AND(Q$36&gt;=$F21,Q$36&lt;=$G21),1,"")</x:f>
        <x:v>1</x:v>
      </x:c>
      <x:c r="R49" s="36" t="n">
        <x:f>IF(AND(R$36&gt;=$F21,R$36&lt;=$G21),1,"")</x:f>
        <x:v>1</x:v>
      </x:c>
      <x:c r="S49" s="36" t="n">
        <x:f>IF(AND(S$36&gt;=$F21,S$36&lt;=$G21),1,"")</x:f>
        <x:v>1</x:v>
      </x:c>
      <x:c r="T49" s="36" t="str">
        <x:f>IF(AND(T$36&gt;=$F21,T$36&lt;=$G21),1,"")</x:f>
      </x:c>
      <x:c r="U49" s="36" t="str">
        <x:f>IF(AND(U$36&gt;=$F21,U$36&lt;=$G21),1,"")</x:f>
      </x:c>
      <x:c r="V49" s="36" t="str">
        <x:f>IF(AND(V$36&gt;=$F21,V$36&lt;=$G21),1,"")</x:f>
      </x:c>
      <x:c r="W49" s="36" t="str">
        <x:f>IF(AND(W$36&gt;=$F21,W$36&lt;=$G21),1,"")</x:f>
      </x:c>
      <x:c r="X49" s="36" t="str">
        <x:f>IF(AND(X$36&gt;=$F21,X$36&lt;=$G21),1,"")</x:f>
      </x:c>
      <x:c r="Y49" s="36" t="str">
        <x:f>IF(AND(Y$36&gt;=$F21,Y$36&lt;=$G21),1,"")</x:f>
      </x:c>
      <x:c r="Z49" s="36" t="str">
        <x:f>IF(AND(Z$36&gt;=$F21,Z$36&lt;=$G21),1,"")</x:f>
      </x:c>
      <x:c r="AA49" s="36" t="str">
        <x:f>IF(AND(AA$36&gt;=$F21,AA$36&lt;=$G21),1,"")</x:f>
      </x:c>
      <x:c r="AB49" s="36" t="str">
        <x:f>IF(AND(AB$36&gt;=$F21,AB$36&lt;=$G21),1,"")</x:f>
      </x:c>
      <x:c r="AC49" s="36" t="str">
        <x:f>IF(AND(AC$36&gt;=$F21,AC$36&lt;=$G21),1,"")</x:f>
      </x:c>
      <x:c r="AD49" s="36" t="str">
        <x:f>IF(AND(AD$36&gt;=$F21,AD$36&lt;=$G21),1,"")</x:f>
      </x:c>
      <x:c r="AE49" s="36" t="str">
        <x:f>IF(AND(AE$36&gt;=$F21,AE$36&lt;=$G21),1,"")</x:f>
      </x:c>
      <x:c r="AF49" s="36" t="str">
        <x:f>IF(AND(AF$36&gt;=$F21,AF$36&lt;=$G21),1,"")</x:f>
      </x:c>
      <x:c r="AG49" s="36" t="str">
        <x:f>IF(AND(AG$36&gt;=$F21,AG$36&lt;=$G21),1,"")</x:f>
      </x:c>
      <x:c r="AH49" s="36" t="str">
        <x:f>IF(AND(AH$36&gt;=$F21,AH$36&lt;=$G21),1,"")</x:f>
      </x:c>
      <x:c r="AI49" s="36" t="str">
        <x:f>IF(AND(AI$36&gt;=$F21,AI$36&lt;=$G21),1,"")</x:f>
      </x:c>
    </x:row>
    <x:row r="50" ht="34" customHeight="1">
      <x:c r="A50" s="3" t="str">
        <x:f>A22</x:f>
        <x:v>PITCH</x:v>
      </x:c>
      <x:c r="B50" s="3" t="str">
        <x:f>B22</x:f>
        <x:v>Draft and design evidence-based pitch deck</x:v>
      </x:c>
      <x:c r="C50" s="36" t="str">
        <x:f>IF(AND(C$36&gt;=$F22,C$36&lt;=$G22),1,"")</x:f>
      </x:c>
      <x:c r="D50" s="36" t="str">
        <x:f>IF(AND(D$36&gt;=$F22,D$36&lt;=$G22),1,"")</x:f>
      </x:c>
      <x:c r="E50" s="36" t="str">
        <x:f>IF(AND(E$36&gt;=$F22,E$36&lt;=$G22),1,"")</x:f>
      </x:c>
      <x:c r="F50" s="36" t="str">
        <x:f>IF(AND(F$36&gt;=$F22,F$36&lt;=$G22),1,"")</x:f>
      </x:c>
      <x:c r="G50" s="36" t="str">
        <x:f>IF(AND(G$36&gt;=$F22,G$36&lt;=$G22),1,"")</x:f>
      </x:c>
      <x:c r="H50" s="36" t="str">
        <x:f>IF(AND(H$36&gt;=$F22,H$36&lt;=$G22),1,"")</x:f>
      </x:c>
      <x:c r="I50" s="36" t="str">
        <x:f>IF(AND(I$36&gt;=$F22,I$36&lt;=$G22),1,"")</x:f>
      </x:c>
      <x:c r="J50" s="36" t="n">
        <x:f>IF(AND(J$36&gt;=$F22,J$36&lt;=$G22),1,"")</x:f>
        <x:v>1</x:v>
      </x:c>
      <x:c r="K50" s="36" t="n">
        <x:f>IF(AND(K$36&gt;=$F22,K$36&lt;=$G22),1,"")</x:f>
        <x:v>1</x:v>
      </x:c>
      <x:c r="L50" s="36" t="n">
        <x:f>IF(AND(L$36&gt;=$F22,L$36&lt;=$G22),1,"")</x:f>
        <x:v>1</x:v>
      </x:c>
      <x:c r="M50" s="36" t="n">
        <x:f>IF(AND(M$36&gt;=$F22,M$36&lt;=$G22),1,"")</x:f>
        <x:v>1</x:v>
      </x:c>
      <x:c r="N50" s="36" t="n">
        <x:f>IF(AND(N$36&gt;=$F22,N$36&lt;=$G22),1,"")</x:f>
        <x:v>1</x:v>
      </x:c>
      <x:c r="O50" s="36" t="n">
        <x:f>IF(AND(O$36&gt;=$F22,O$36&lt;=$G22),1,"")</x:f>
        <x:v>1</x:v>
      </x:c>
      <x:c r="P50" s="36" t="n">
        <x:f>IF(AND(P$36&gt;=$F22,P$36&lt;=$G22),1,"")</x:f>
        <x:v>1</x:v>
      </x:c>
      <x:c r="Q50" s="36" t="n">
        <x:f>IF(AND(Q$36&gt;=$F22,Q$36&lt;=$G22),1,"")</x:f>
        <x:v>1</x:v>
      </x:c>
      <x:c r="R50" s="36" t="n">
        <x:f>IF(AND(R$36&gt;=$F22,R$36&lt;=$G22),1,"")</x:f>
        <x:v>1</x:v>
      </x:c>
      <x:c r="S50" s="36" t="n">
        <x:f>IF(AND(S$36&gt;=$F22,S$36&lt;=$G22),1,"")</x:f>
        <x:v>1</x:v>
      </x:c>
      <x:c r="T50" s="36" t="n">
        <x:f>IF(AND(T$36&gt;=$F22,T$36&lt;=$G22),1,"")</x:f>
        <x:v>1</x:v>
      </x:c>
      <x:c r="U50" s="36" t="n">
        <x:f>IF(AND(U$36&gt;=$F22,U$36&lt;=$G22),1,"")</x:f>
        <x:v>1</x:v>
      </x:c>
      <x:c r="V50" s="36" t="n">
        <x:f>IF(AND(V$36&gt;=$F22,V$36&lt;=$G22),1,"")</x:f>
        <x:v>1</x:v>
      </x:c>
      <x:c r="W50" s="36" t="n">
        <x:f>IF(AND(W$36&gt;=$F22,W$36&lt;=$G22),1,"")</x:f>
        <x:v>1</x:v>
      </x:c>
      <x:c r="X50" s="36" t="str">
        <x:f>IF(AND(X$36&gt;=$F22,X$36&lt;=$G22),1,"")</x:f>
      </x:c>
      <x:c r="Y50" s="36" t="str">
        <x:f>IF(AND(Y$36&gt;=$F22,Y$36&lt;=$G22),1,"")</x:f>
      </x:c>
      <x:c r="Z50" s="36" t="str">
        <x:f>IF(AND(Z$36&gt;=$F22,Z$36&lt;=$G22),1,"")</x:f>
      </x:c>
      <x:c r="AA50" s="36" t="str">
        <x:f>IF(AND(AA$36&gt;=$F22,AA$36&lt;=$G22),1,"")</x:f>
      </x:c>
      <x:c r="AB50" s="36" t="str">
        <x:f>IF(AND(AB$36&gt;=$F22,AB$36&lt;=$G22),1,"")</x:f>
      </x:c>
      <x:c r="AC50" s="36" t="str">
        <x:f>IF(AND(AC$36&gt;=$F22,AC$36&lt;=$G22),1,"")</x:f>
      </x:c>
      <x:c r="AD50" s="36" t="str">
        <x:f>IF(AND(AD$36&gt;=$F22,AD$36&lt;=$G22),1,"")</x:f>
      </x:c>
      <x:c r="AE50" s="36" t="str">
        <x:f>IF(AND(AE$36&gt;=$F22,AE$36&lt;=$G22),1,"")</x:f>
      </x:c>
      <x:c r="AF50" s="36" t="str">
        <x:f>IF(AND(AF$36&gt;=$F22,AF$36&lt;=$G22),1,"")</x:f>
      </x:c>
      <x:c r="AG50" s="36" t="str">
        <x:f>IF(AND(AG$36&gt;=$F22,AG$36&lt;=$G22),1,"")</x:f>
      </x:c>
      <x:c r="AH50" s="36" t="str">
        <x:f>IF(AND(AH$36&gt;=$F22,AH$36&lt;=$G22),1,"")</x:f>
      </x:c>
      <x:c r="AI50" s="36" t="str">
        <x:f>IF(AND(AI$36&gt;=$F22,AI$36&lt;=$G22),1,"")</x:f>
      </x:c>
    </x:row>
    <x:row r="51" ht="34" customHeight="1">
      <x:c r="A51" s="3" t="str">
        <x:f>A23</x:f>
        <x:v>MILESTONE</x:v>
      </x:c>
      <x:c r="B51" s="3" t="str">
        <x:f>B23</x:f>
        <x:v>Registration deadline</x:v>
      </x:c>
      <x:c r="C51" s="37" t="str">
        <x:f>IF(AND(C$36&gt;=$F23,C$36&lt;=$G23),"●","")</x:f>
      </x:c>
      <x:c r="D51" s="37" t="str">
        <x:f>IF(AND(D$36&gt;=$F23,D$36&lt;=$G23),"●","")</x:f>
      </x:c>
      <x:c r="E51" s="37" t="str">
        <x:f>IF(AND(E$36&gt;=$F23,E$36&lt;=$G23),"●","")</x:f>
      </x:c>
      <x:c r="F51" s="37" t="str">
        <x:f>IF(AND(F$36&gt;=$F23,F$36&lt;=$G23),"●","")</x:f>
      </x:c>
      <x:c r="G51" s="37" t="str">
        <x:f>IF(AND(G$36&gt;=$F23,G$36&lt;=$G23),"●","")</x:f>
      </x:c>
      <x:c r="H51" s="37" t="str">
        <x:f>IF(AND(H$36&gt;=$F23,H$36&lt;=$G23),"●","")</x:f>
      </x:c>
      <x:c r="I51" s="37" t="str">
        <x:f>IF(AND(I$36&gt;=$F23,I$36&lt;=$G23),"●","")</x:f>
      </x:c>
      <x:c r="J51" s="37" t="str">
        <x:f>IF(AND(J$36&gt;=$F23,J$36&lt;=$G23),"●","")</x:f>
      </x:c>
      <x:c r="K51" s="37" t="str">
        <x:f>IF(AND(K$36&gt;=$F23,K$36&lt;=$G23),"●","")</x:f>
      </x:c>
      <x:c r="L51" s="37" t="str">
        <x:f>IF(AND(L$36&gt;=$F23,L$36&lt;=$G23),"●","")</x:f>
      </x:c>
      <x:c r="M51" s="37" t="str">
        <x:f>IF(AND(M$36&gt;=$F23,M$36&lt;=$G23),"●","")</x:f>
      </x:c>
      <x:c r="N51" s="37" t="str">
        <x:f>IF(AND(N$36&gt;=$F23,N$36&lt;=$G23),"●","")</x:f>
        <x:v>●</x:v>
      </x:c>
      <x:c r="O51" s="37" t="str">
        <x:f>IF(AND(O$36&gt;=$F23,O$36&lt;=$G23),"●","")</x:f>
      </x:c>
      <x:c r="P51" s="37" t="str">
        <x:f>IF(AND(P$36&gt;=$F23,P$36&lt;=$G23),"●","")</x:f>
      </x:c>
      <x:c r="Q51" s="37" t="str">
        <x:f>IF(AND(Q$36&gt;=$F23,Q$36&lt;=$G23),"●","")</x:f>
      </x:c>
      <x:c r="R51" s="37" t="str">
        <x:f>IF(AND(R$36&gt;=$F23,R$36&lt;=$G23),"●","")</x:f>
      </x:c>
      <x:c r="S51" s="37" t="str">
        <x:f>IF(AND(S$36&gt;=$F23,S$36&lt;=$G23),"●","")</x:f>
      </x:c>
      <x:c r="T51" s="37" t="str">
        <x:f>IF(AND(T$36&gt;=$F23,T$36&lt;=$G23),"●","")</x:f>
      </x:c>
      <x:c r="U51" s="37" t="str">
        <x:f>IF(AND(U$36&gt;=$F23,U$36&lt;=$G23),"●","")</x:f>
      </x:c>
      <x:c r="V51" s="37" t="str">
        <x:f>IF(AND(V$36&gt;=$F23,V$36&lt;=$G23),"●","")</x:f>
      </x:c>
      <x:c r="W51" s="37" t="str">
        <x:f>IF(AND(W$36&gt;=$F23,W$36&lt;=$G23),"●","")</x:f>
      </x:c>
      <x:c r="X51" s="37" t="str">
        <x:f>IF(AND(X$36&gt;=$F23,X$36&lt;=$G23),"●","")</x:f>
      </x:c>
      <x:c r="Y51" s="37" t="str">
        <x:f>IF(AND(Y$36&gt;=$F23,Y$36&lt;=$G23),"●","")</x:f>
      </x:c>
      <x:c r="Z51" s="37" t="str">
        <x:f>IF(AND(Z$36&gt;=$F23,Z$36&lt;=$G23),"●","")</x:f>
      </x:c>
      <x:c r="AA51" s="37" t="str">
        <x:f>IF(AND(AA$36&gt;=$F23,AA$36&lt;=$G23),"●","")</x:f>
      </x:c>
      <x:c r="AB51" s="37" t="str">
        <x:f>IF(AND(AB$36&gt;=$F23,AB$36&lt;=$G23),"●","")</x:f>
      </x:c>
      <x:c r="AC51" s="37" t="str">
        <x:f>IF(AND(AC$36&gt;=$F23,AC$36&lt;=$G23),"●","")</x:f>
      </x:c>
      <x:c r="AD51" s="37" t="str">
        <x:f>IF(AND(AD$36&gt;=$F23,AD$36&lt;=$G23),"●","")</x:f>
      </x:c>
      <x:c r="AE51" s="37" t="str">
        <x:f>IF(AND(AE$36&gt;=$F23,AE$36&lt;=$G23),"●","")</x:f>
      </x:c>
      <x:c r="AF51" s="37" t="str">
        <x:f>IF(AND(AF$36&gt;=$F23,AF$36&lt;=$G23),"●","")</x:f>
      </x:c>
      <x:c r="AG51" s="37" t="str">
        <x:f>IF(AND(AG$36&gt;=$F23,AG$36&lt;=$G23),"●","")</x:f>
      </x:c>
      <x:c r="AH51" s="37" t="str">
        <x:f>IF(AND(AH$36&gt;=$F23,AH$36&lt;=$G23),"●","")</x:f>
      </x:c>
      <x:c r="AI51" s="37" t="str">
        <x:f>IF(AND(AI$36&gt;=$F23,AI$36&lt;=$G23),"●","")</x:f>
      </x:c>
    </x:row>
    <x:row r="52" ht="34" customHeight="1">
      <x:c r="A52" s="3" t="str">
        <x:f>A24</x:f>
        <x:v>REVIEW</x:v>
      </x:c>
      <x:c r="B52" s="3" t="str">
        <x:f>B24</x:f>
        <x:v>Review pilot costs, sales and experiment evidence</x:v>
      </x:c>
      <x:c r="C52" s="36" t="str">
        <x:f>IF(AND(C$36&gt;=$F24,C$36&lt;=$G24),1,"")</x:f>
      </x:c>
      <x:c r="D52" s="36" t="str">
        <x:f>IF(AND(D$36&gt;=$F24,D$36&lt;=$G24),1,"")</x:f>
      </x:c>
      <x:c r="E52" s="36" t="str">
        <x:f>IF(AND(E$36&gt;=$F24,E$36&lt;=$G24),1,"")</x:f>
      </x:c>
      <x:c r="F52" s="36" t="str">
        <x:f>IF(AND(F$36&gt;=$F24,F$36&lt;=$G24),1,"")</x:f>
      </x:c>
      <x:c r="G52" s="36" t="str">
        <x:f>IF(AND(G$36&gt;=$F24,G$36&lt;=$G24),1,"")</x:f>
      </x:c>
      <x:c r="H52" s="36" t="str">
        <x:f>IF(AND(H$36&gt;=$F24,H$36&lt;=$G24),1,"")</x:f>
      </x:c>
      <x:c r="I52" s="36" t="str">
        <x:f>IF(AND(I$36&gt;=$F24,I$36&lt;=$G24),1,"")</x:f>
      </x:c>
      <x:c r="J52" s="36" t="str">
        <x:f>IF(AND(J$36&gt;=$F24,J$36&lt;=$G24),1,"")</x:f>
      </x:c>
      <x:c r="K52" s="36" t="str">
        <x:f>IF(AND(K$36&gt;=$F24,K$36&lt;=$G24),1,"")</x:f>
      </x:c>
      <x:c r="L52" s="36" t="str">
        <x:f>IF(AND(L$36&gt;=$F24,L$36&lt;=$G24),1,"")</x:f>
      </x:c>
      <x:c r="M52" s="36" t="str">
        <x:f>IF(AND(M$36&gt;=$F24,M$36&lt;=$G24),1,"")</x:f>
      </x:c>
      <x:c r="N52" s="36" t="str">
        <x:f>IF(AND(N$36&gt;=$F24,N$36&lt;=$G24),1,"")</x:f>
      </x:c>
      <x:c r="O52" s="36" t="str">
        <x:f>IF(AND(O$36&gt;=$F24,O$36&lt;=$G24),1,"")</x:f>
      </x:c>
      <x:c r="P52" s="36" t="str">
        <x:f>IF(AND(P$36&gt;=$F24,P$36&lt;=$G24),1,"")</x:f>
      </x:c>
      <x:c r="Q52" s="36" t="str">
        <x:f>IF(AND(Q$36&gt;=$F24,Q$36&lt;=$G24),1,"")</x:f>
      </x:c>
      <x:c r="R52" s="36" t="str">
        <x:f>IF(AND(R$36&gt;=$F24,R$36&lt;=$G24),1,"")</x:f>
      </x:c>
      <x:c r="S52" s="36" t="str">
        <x:f>IF(AND(S$36&gt;=$F24,S$36&lt;=$G24),1,"")</x:f>
      </x:c>
      <x:c r="T52" s="36" t="str">
        <x:f>IF(AND(T$36&gt;=$F24,T$36&lt;=$G24),1,"")</x:f>
      </x:c>
      <x:c r="U52" s="36" t="n">
        <x:f>IF(AND(U$36&gt;=$F24,U$36&lt;=$G24),1,"")</x:f>
        <x:v>1</x:v>
      </x:c>
      <x:c r="V52" s="36" t="n">
        <x:f>IF(AND(V$36&gt;=$F24,V$36&lt;=$G24),1,"")</x:f>
        <x:v>1</x:v>
      </x:c>
      <x:c r="W52" s="36" t="n">
        <x:f>IF(AND(W$36&gt;=$F24,W$36&lt;=$G24),1,"")</x:f>
        <x:v>1</x:v>
      </x:c>
      <x:c r="X52" s="36" t="str">
        <x:f>IF(AND(X$36&gt;=$F24,X$36&lt;=$G24),1,"")</x:f>
      </x:c>
      <x:c r="Y52" s="36" t="str">
        <x:f>IF(AND(Y$36&gt;=$F24,Y$36&lt;=$G24),1,"")</x:f>
      </x:c>
      <x:c r="Z52" s="36" t="str">
        <x:f>IF(AND(Z$36&gt;=$F24,Z$36&lt;=$G24),1,"")</x:f>
      </x:c>
      <x:c r="AA52" s="36" t="str">
        <x:f>IF(AND(AA$36&gt;=$F24,AA$36&lt;=$G24),1,"")</x:f>
      </x:c>
      <x:c r="AB52" s="36" t="str">
        <x:f>IF(AND(AB$36&gt;=$F24,AB$36&lt;=$G24),1,"")</x:f>
      </x:c>
      <x:c r="AC52" s="36" t="str">
        <x:f>IF(AND(AC$36&gt;=$F24,AC$36&lt;=$G24),1,"")</x:f>
      </x:c>
      <x:c r="AD52" s="36" t="str">
        <x:f>IF(AND(AD$36&gt;=$F24,AD$36&lt;=$G24),1,"")</x:f>
      </x:c>
      <x:c r="AE52" s="36" t="str">
        <x:f>IF(AND(AE$36&gt;=$F24,AE$36&lt;=$G24),1,"")</x:f>
      </x:c>
      <x:c r="AF52" s="36" t="str">
        <x:f>IF(AND(AF$36&gt;=$F24,AF$36&lt;=$G24),1,"")</x:f>
      </x:c>
      <x:c r="AG52" s="36" t="str">
        <x:f>IF(AND(AG$36&gt;=$F24,AG$36&lt;=$G24),1,"")</x:f>
      </x:c>
      <x:c r="AH52" s="36" t="str">
        <x:f>IF(AND(AH$36&gt;=$F24,AH$36&lt;=$G24),1,"")</x:f>
      </x:c>
      <x:c r="AI52" s="36" t="str">
        <x:f>IF(AND(AI$36&gt;=$F24,AI$36&lt;=$G24),1,"")</x:f>
      </x:c>
    </x:row>
    <x:row r="53" ht="34" customHeight="1">
      <x:c r="A53" s="3" t="str">
        <x:f>A25</x:f>
        <x:v>MILESTONE</x:v>
      </x:c>
      <x:c r="B53" s="3" t="str">
        <x:f>B25</x:f>
        <x:v>MVP and competition evidence readiness</x:v>
      </x:c>
      <x:c r="C53" s="37" t="str">
        <x:f>IF(AND(C$36&gt;=$F25,C$36&lt;=$G25),"●","")</x:f>
      </x:c>
      <x:c r="D53" s="37" t="str">
        <x:f>IF(AND(D$36&gt;=$F25,D$36&lt;=$G25),"●","")</x:f>
      </x:c>
      <x:c r="E53" s="37" t="str">
        <x:f>IF(AND(E$36&gt;=$F25,E$36&lt;=$G25),"●","")</x:f>
      </x:c>
      <x:c r="F53" s="37" t="str">
        <x:f>IF(AND(F$36&gt;=$F25,F$36&lt;=$G25),"●","")</x:f>
      </x:c>
      <x:c r="G53" s="37" t="str">
        <x:f>IF(AND(G$36&gt;=$F25,G$36&lt;=$G25),"●","")</x:f>
      </x:c>
      <x:c r="H53" s="37" t="str">
        <x:f>IF(AND(H$36&gt;=$F25,H$36&lt;=$G25),"●","")</x:f>
      </x:c>
      <x:c r="I53" s="37" t="str">
        <x:f>IF(AND(I$36&gt;=$F25,I$36&lt;=$G25),"●","")</x:f>
      </x:c>
      <x:c r="J53" s="37" t="str">
        <x:f>IF(AND(J$36&gt;=$F25,J$36&lt;=$G25),"●","")</x:f>
      </x:c>
      <x:c r="K53" s="37" t="str">
        <x:f>IF(AND(K$36&gt;=$F25,K$36&lt;=$G25),"●","")</x:f>
      </x:c>
      <x:c r="L53" s="37" t="str">
        <x:f>IF(AND(L$36&gt;=$F25,L$36&lt;=$G25),"●","")</x:f>
      </x:c>
      <x:c r="M53" s="37" t="str">
        <x:f>IF(AND(M$36&gt;=$F25,M$36&lt;=$G25),"●","")</x:f>
      </x:c>
      <x:c r="N53" s="37" t="str">
        <x:f>IF(AND(N$36&gt;=$F25,N$36&lt;=$G25),"●","")</x:f>
      </x:c>
      <x:c r="O53" s="37" t="str">
        <x:f>IF(AND(O$36&gt;=$F25,O$36&lt;=$G25),"●","")</x:f>
      </x:c>
      <x:c r="P53" s="37" t="str">
        <x:f>IF(AND(P$36&gt;=$F25,P$36&lt;=$G25),"●","")</x:f>
      </x:c>
      <x:c r="Q53" s="37" t="str">
        <x:f>IF(AND(Q$36&gt;=$F25,Q$36&lt;=$G25),"●","")</x:f>
      </x:c>
      <x:c r="R53" s="37" t="str">
        <x:f>IF(AND(R$36&gt;=$F25,R$36&lt;=$G25),"●","")</x:f>
      </x:c>
      <x:c r="S53" s="37" t="str">
        <x:f>IF(AND(S$36&gt;=$F25,S$36&lt;=$G25),"●","")</x:f>
      </x:c>
      <x:c r="T53" s="37" t="str">
        <x:f>IF(AND(T$36&gt;=$F25,T$36&lt;=$G25),"●","")</x:f>
      </x:c>
      <x:c r="U53" s="37" t="str">
        <x:f>IF(AND(U$36&gt;=$F25,U$36&lt;=$G25),"●","")</x:f>
      </x:c>
      <x:c r="V53" s="37" t="str">
        <x:f>IF(AND(V$36&gt;=$F25,V$36&lt;=$G25),"●","")</x:f>
      </x:c>
      <x:c r="W53" s="37" t="str">
        <x:f>IF(AND(W$36&gt;=$F25,W$36&lt;=$G25),"●","")</x:f>
        <x:v>●</x:v>
      </x:c>
      <x:c r="X53" s="37" t="str">
        <x:f>IF(AND(X$36&gt;=$F25,X$36&lt;=$G25),"●","")</x:f>
      </x:c>
      <x:c r="Y53" s="37" t="str">
        <x:f>IF(AND(Y$36&gt;=$F25,Y$36&lt;=$G25),"●","")</x:f>
      </x:c>
      <x:c r="Z53" s="37" t="str">
        <x:f>IF(AND(Z$36&gt;=$F25,Z$36&lt;=$G25),"●","")</x:f>
      </x:c>
      <x:c r="AA53" s="37" t="str">
        <x:f>IF(AND(AA$36&gt;=$F25,AA$36&lt;=$G25),"●","")</x:f>
      </x:c>
      <x:c r="AB53" s="37" t="str">
        <x:f>IF(AND(AB$36&gt;=$F25,AB$36&lt;=$G25),"●","")</x:f>
      </x:c>
      <x:c r="AC53" s="37" t="str">
        <x:f>IF(AND(AC$36&gt;=$F25,AC$36&lt;=$G25),"●","")</x:f>
      </x:c>
      <x:c r="AD53" s="37" t="str">
        <x:f>IF(AND(AD$36&gt;=$F25,AD$36&lt;=$G25),"●","")</x:f>
      </x:c>
      <x:c r="AE53" s="37" t="str">
        <x:f>IF(AND(AE$36&gt;=$F25,AE$36&lt;=$G25),"●","")</x:f>
      </x:c>
      <x:c r="AF53" s="37" t="str">
        <x:f>IF(AND(AF$36&gt;=$F25,AF$36&lt;=$G25),"●","")</x:f>
      </x:c>
      <x:c r="AG53" s="37" t="str">
        <x:f>IF(AND(AG$36&gt;=$F25,AG$36&lt;=$G25),"●","")</x:f>
      </x:c>
      <x:c r="AH53" s="37" t="str">
        <x:f>IF(AND(AH$36&gt;=$F25,AH$36&lt;=$G25),"●","")</x:f>
      </x:c>
      <x:c r="AI53" s="37" t="str">
        <x:f>IF(AND(AI$36&gt;=$F25,AI$36&lt;=$G25),"●","")</x:f>
      </x:c>
    </x:row>
    <x:row r="54" ht="34" customHeight="1">
      <x:c r="A54" s="3" t="str">
        <x:f>A26</x:f>
        <x:v>PILOT</x:v>
      </x:c>
      <x:c r="B54" s="3" t="str">
        <x:f>B26</x:f>
        <x:v>Move reservations to app when ready</x:v>
      </x:c>
      <x:c r="C54" s="36" t="str">
        <x:f>IF(AND(C$36&gt;=$F26,C$36&lt;=$G26),1,"")</x:f>
      </x:c>
      <x:c r="D54" s="36" t="str">
        <x:f>IF(AND(D$36&gt;=$F26,D$36&lt;=$G26),1,"")</x:f>
      </x:c>
      <x:c r="E54" s="36" t="str">
        <x:f>IF(AND(E$36&gt;=$F26,E$36&lt;=$G26),1,"")</x:f>
      </x:c>
      <x:c r="F54" s="36" t="str">
        <x:f>IF(AND(F$36&gt;=$F26,F$36&lt;=$G26),1,"")</x:f>
      </x:c>
      <x:c r="G54" s="36" t="str">
        <x:f>IF(AND(G$36&gt;=$F26,G$36&lt;=$G26),1,"")</x:f>
      </x:c>
      <x:c r="H54" s="36" t="str">
        <x:f>IF(AND(H$36&gt;=$F26,H$36&lt;=$G26),1,"")</x:f>
      </x:c>
      <x:c r="I54" s="36" t="str">
        <x:f>IF(AND(I$36&gt;=$F26,I$36&lt;=$G26),1,"")</x:f>
      </x:c>
      <x:c r="J54" s="36" t="str">
        <x:f>IF(AND(J$36&gt;=$F26,J$36&lt;=$G26),1,"")</x:f>
      </x:c>
      <x:c r="K54" s="36" t="str">
        <x:f>IF(AND(K$36&gt;=$F26,K$36&lt;=$G26),1,"")</x:f>
      </x:c>
      <x:c r="L54" s="36" t="str">
        <x:f>IF(AND(L$36&gt;=$F26,L$36&lt;=$G26),1,"")</x:f>
      </x:c>
      <x:c r="M54" s="36" t="str">
        <x:f>IF(AND(M$36&gt;=$F26,M$36&lt;=$G26),1,"")</x:f>
      </x:c>
      <x:c r="N54" s="36" t="str">
        <x:f>IF(AND(N$36&gt;=$F26,N$36&lt;=$G26),1,"")</x:f>
      </x:c>
      <x:c r="O54" s="36" t="str">
        <x:f>IF(AND(O$36&gt;=$F26,O$36&lt;=$G26),1,"")</x:f>
      </x:c>
      <x:c r="P54" s="36" t="str">
        <x:f>IF(AND(P$36&gt;=$F26,P$36&lt;=$G26),1,"")</x:f>
      </x:c>
      <x:c r="Q54" s="36" t="str">
        <x:f>IF(AND(Q$36&gt;=$F26,Q$36&lt;=$G26),1,"")</x:f>
      </x:c>
      <x:c r="R54" s="36" t="str">
        <x:f>IF(AND(R$36&gt;=$F26,R$36&lt;=$G26),1,"")</x:f>
      </x:c>
      <x:c r="S54" s="36" t="str">
        <x:f>IF(AND(S$36&gt;=$F26,S$36&lt;=$G26),1,"")</x:f>
      </x:c>
      <x:c r="T54" s="36" t="str">
        <x:f>IF(AND(T$36&gt;=$F26,T$36&lt;=$G26),1,"")</x:f>
      </x:c>
      <x:c r="U54" s="36" t="str">
        <x:f>IF(AND(U$36&gt;=$F26,U$36&lt;=$G26),1,"")</x:f>
      </x:c>
      <x:c r="V54" s="36" t="str">
        <x:f>IF(AND(V$36&gt;=$F26,V$36&lt;=$G26),1,"")</x:f>
      </x:c>
      <x:c r="W54" s="36" t="str">
        <x:f>IF(AND(W$36&gt;=$F26,W$36&lt;=$G26),1,"")</x:f>
      </x:c>
      <x:c r="X54" s="36" t="n">
        <x:f>IF(AND(X$36&gt;=$F26,X$36&lt;=$G26),1,"")</x:f>
        <x:v>1</x:v>
      </x:c>
      <x:c r="Y54" s="36" t="n">
        <x:f>IF(AND(Y$36&gt;=$F26,Y$36&lt;=$G26),1,"")</x:f>
        <x:v>1</x:v>
      </x:c>
      <x:c r="Z54" s="36" t="n">
        <x:f>IF(AND(Z$36&gt;=$F26,Z$36&lt;=$G26),1,"")</x:f>
        <x:v>1</x:v>
      </x:c>
      <x:c r="AA54" s="36" t="n">
        <x:f>IF(AND(AA$36&gt;=$F26,AA$36&lt;=$G26),1,"")</x:f>
        <x:v>1</x:v>
      </x:c>
      <x:c r="AB54" s="36" t="str">
        <x:f>IF(AND(AB$36&gt;=$F26,AB$36&lt;=$G26),1,"")</x:f>
      </x:c>
      <x:c r="AC54" s="36" t="str">
        <x:f>IF(AND(AC$36&gt;=$F26,AC$36&lt;=$G26),1,"")</x:f>
      </x:c>
      <x:c r="AD54" s="36" t="str">
        <x:f>IF(AND(AD$36&gt;=$F26,AD$36&lt;=$G26),1,"")</x:f>
      </x:c>
      <x:c r="AE54" s="36" t="str">
        <x:f>IF(AND(AE$36&gt;=$F26,AE$36&lt;=$G26),1,"")</x:f>
      </x:c>
      <x:c r="AF54" s="36" t="str">
        <x:f>IF(AND(AF$36&gt;=$F26,AF$36&lt;=$G26),1,"")</x:f>
      </x:c>
      <x:c r="AG54" s="36" t="str">
        <x:f>IF(AND(AG$36&gt;=$F26,AG$36&lt;=$G26),1,"")</x:f>
      </x:c>
      <x:c r="AH54" s="36" t="str">
        <x:f>IF(AND(AH$36&gt;=$F26,AH$36&lt;=$G26),1,"")</x:f>
      </x:c>
      <x:c r="AI54" s="36" t="str">
        <x:f>IF(AND(AI$36&gt;=$F26,AI$36&lt;=$G26),1,"")</x:f>
      </x:c>
    </x:row>
    <x:row r="55" ht="34" customHeight="1">
      <x:c r="A55" s="3" t="str">
        <x:f>A27</x:f>
        <x:v>PITCH</x:v>
      </x:c>
      <x:c r="B55" s="3" t="str">
        <x:f>B27</x:f>
        <x:v>Record and edit online pitching video</x:v>
      </x:c>
      <x:c r="C55" s="36" t="str">
        <x:f>IF(AND(C$36&gt;=$F27,C$36&lt;=$G27),1,"")</x:f>
      </x:c>
      <x:c r="D55" s="36" t="str">
        <x:f>IF(AND(D$36&gt;=$F27,D$36&lt;=$G27),1,"")</x:f>
      </x:c>
      <x:c r="E55" s="36" t="str">
        <x:f>IF(AND(E$36&gt;=$F27,E$36&lt;=$G27),1,"")</x:f>
      </x:c>
      <x:c r="F55" s="36" t="str">
        <x:f>IF(AND(F$36&gt;=$F27,F$36&lt;=$G27),1,"")</x:f>
      </x:c>
      <x:c r="G55" s="36" t="str">
        <x:f>IF(AND(G$36&gt;=$F27,G$36&lt;=$G27),1,"")</x:f>
      </x:c>
      <x:c r="H55" s="36" t="str">
        <x:f>IF(AND(H$36&gt;=$F27,H$36&lt;=$G27),1,"")</x:f>
      </x:c>
      <x:c r="I55" s="36" t="str">
        <x:f>IF(AND(I$36&gt;=$F27,I$36&lt;=$G27),1,"")</x:f>
      </x:c>
      <x:c r="J55" s="36" t="str">
        <x:f>IF(AND(J$36&gt;=$F27,J$36&lt;=$G27),1,"")</x:f>
      </x:c>
      <x:c r="K55" s="36" t="str">
        <x:f>IF(AND(K$36&gt;=$F27,K$36&lt;=$G27),1,"")</x:f>
      </x:c>
      <x:c r="L55" s="36" t="str">
        <x:f>IF(AND(L$36&gt;=$F27,L$36&lt;=$G27),1,"")</x:f>
      </x:c>
      <x:c r="M55" s="36" t="str">
        <x:f>IF(AND(M$36&gt;=$F27,M$36&lt;=$G27),1,"")</x:f>
      </x:c>
      <x:c r="N55" s="36" t="str">
        <x:f>IF(AND(N$36&gt;=$F27,N$36&lt;=$G27),1,"")</x:f>
      </x:c>
      <x:c r="O55" s="36" t="str">
        <x:f>IF(AND(O$36&gt;=$F27,O$36&lt;=$G27),1,"")</x:f>
      </x:c>
      <x:c r="P55" s="36" t="str">
        <x:f>IF(AND(P$36&gt;=$F27,P$36&lt;=$G27),1,"")</x:f>
      </x:c>
      <x:c r="Q55" s="36" t="str">
        <x:f>IF(AND(Q$36&gt;=$F27,Q$36&lt;=$G27),1,"")</x:f>
      </x:c>
      <x:c r="R55" s="36" t="str">
        <x:f>IF(AND(R$36&gt;=$F27,R$36&lt;=$G27),1,"")</x:f>
      </x:c>
      <x:c r="S55" s="36" t="str">
        <x:f>IF(AND(S$36&gt;=$F27,S$36&lt;=$G27),1,"")</x:f>
      </x:c>
      <x:c r="T55" s="36" t="str">
        <x:f>IF(AND(T$36&gt;=$F27,T$36&lt;=$G27),1,"")</x:f>
      </x:c>
      <x:c r="U55" s="36" t="str">
        <x:f>IF(AND(U$36&gt;=$F27,U$36&lt;=$G27),1,"")</x:f>
      </x:c>
      <x:c r="V55" s="36" t="str">
        <x:f>IF(AND(V$36&gt;=$F27,V$36&lt;=$G27),1,"")</x:f>
      </x:c>
      <x:c r="W55" s="36" t="str">
        <x:f>IF(AND(W$36&gt;=$F27,W$36&lt;=$G27),1,"")</x:f>
      </x:c>
      <x:c r="X55" s="36" t="n">
        <x:f>IF(AND(X$36&gt;=$F27,X$36&lt;=$G27),1,"")</x:f>
        <x:v>1</x:v>
      </x:c>
      <x:c r="Y55" s="36" t="n">
        <x:f>IF(AND(Y$36&gt;=$F27,Y$36&lt;=$G27),1,"")</x:f>
        <x:v>1</x:v>
      </x:c>
      <x:c r="Z55" s="36" t="n">
        <x:f>IF(AND(Z$36&gt;=$F27,Z$36&lt;=$G27),1,"")</x:f>
        <x:v>1</x:v>
      </x:c>
      <x:c r="AA55" s="36" t="n">
        <x:f>IF(AND(AA$36&gt;=$F27,AA$36&lt;=$G27),1,"")</x:f>
        <x:v>1</x:v>
      </x:c>
      <x:c r="AB55" s="36" t="str">
        <x:f>IF(AND(AB$36&gt;=$F27,AB$36&lt;=$G27),1,"")</x:f>
      </x:c>
      <x:c r="AC55" s="36" t="str">
        <x:f>IF(AND(AC$36&gt;=$F27,AC$36&lt;=$G27),1,"")</x:f>
      </x:c>
      <x:c r="AD55" s="36" t="str">
        <x:f>IF(AND(AD$36&gt;=$F27,AD$36&lt;=$G27),1,"")</x:f>
      </x:c>
      <x:c r="AE55" s="36" t="str">
        <x:f>IF(AND(AE$36&gt;=$F27,AE$36&lt;=$G27),1,"")</x:f>
      </x:c>
      <x:c r="AF55" s="36" t="str">
        <x:f>IF(AND(AF$36&gt;=$F27,AF$36&lt;=$G27),1,"")</x:f>
      </x:c>
      <x:c r="AG55" s="36" t="str">
        <x:f>IF(AND(AG$36&gt;=$F27,AG$36&lt;=$G27),1,"")</x:f>
      </x:c>
      <x:c r="AH55" s="36" t="str">
        <x:f>IF(AND(AH$36&gt;=$F27,AH$36&lt;=$G27),1,"")</x:f>
      </x:c>
      <x:c r="AI55" s="36" t="str">
        <x:f>IF(AND(AI$36&gt;=$F27,AI$36&lt;=$G27),1,"")</x:f>
      </x:c>
    </x:row>
    <x:row r="56" ht="34" customHeight="1">
      <x:c r="A56" s="3" t="str">
        <x:f>A28</x:f>
        <x:v>MILESTONE</x:v>
      </x:c>
      <x:c r="B56" s="3" t="str">
        <x:f>B28</x:f>
        <x:v>Briefing and online pitch submission</x:v>
      </x:c>
      <x:c r="C56" s="37" t="str">
        <x:f>IF(AND(C$36&gt;=$F28,C$36&lt;=$G28),"●","")</x:f>
      </x:c>
      <x:c r="D56" s="37" t="str">
        <x:f>IF(AND(D$36&gt;=$F28,D$36&lt;=$G28),"●","")</x:f>
      </x:c>
      <x:c r="E56" s="37" t="str">
        <x:f>IF(AND(E$36&gt;=$F28,E$36&lt;=$G28),"●","")</x:f>
      </x:c>
      <x:c r="F56" s="37" t="str">
        <x:f>IF(AND(F$36&gt;=$F28,F$36&lt;=$G28),"●","")</x:f>
      </x:c>
      <x:c r="G56" s="37" t="str">
        <x:f>IF(AND(G$36&gt;=$F28,G$36&lt;=$G28),"●","")</x:f>
      </x:c>
      <x:c r="H56" s="37" t="str">
        <x:f>IF(AND(H$36&gt;=$F28,H$36&lt;=$G28),"●","")</x:f>
      </x:c>
      <x:c r="I56" s="37" t="str">
        <x:f>IF(AND(I$36&gt;=$F28,I$36&lt;=$G28),"●","")</x:f>
      </x:c>
      <x:c r="J56" s="37" t="str">
        <x:f>IF(AND(J$36&gt;=$F28,J$36&lt;=$G28),"●","")</x:f>
      </x:c>
      <x:c r="K56" s="37" t="str">
        <x:f>IF(AND(K$36&gt;=$F28,K$36&lt;=$G28),"●","")</x:f>
      </x:c>
      <x:c r="L56" s="37" t="str">
        <x:f>IF(AND(L$36&gt;=$F28,L$36&lt;=$G28),"●","")</x:f>
      </x:c>
      <x:c r="M56" s="37" t="str">
        <x:f>IF(AND(M$36&gt;=$F28,M$36&lt;=$G28),"●","")</x:f>
      </x:c>
      <x:c r="N56" s="37" t="str">
        <x:f>IF(AND(N$36&gt;=$F28,N$36&lt;=$G28),"●","")</x:f>
      </x:c>
      <x:c r="O56" s="37" t="str">
        <x:f>IF(AND(O$36&gt;=$F28,O$36&lt;=$G28),"●","")</x:f>
      </x:c>
      <x:c r="P56" s="37" t="str">
        <x:f>IF(AND(P$36&gt;=$F28,P$36&lt;=$G28),"●","")</x:f>
      </x:c>
      <x:c r="Q56" s="37" t="str">
        <x:f>IF(AND(Q$36&gt;=$F28,Q$36&lt;=$G28),"●","")</x:f>
      </x:c>
      <x:c r="R56" s="37" t="str">
        <x:f>IF(AND(R$36&gt;=$F28,R$36&lt;=$G28),"●","")</x:f>
      </x:c>
      <x:c r="S56" s="37" t="str">
        <x:f>IF(AND(S$36&gt;=$F28,S$36&lt;=$G28),"●","")</x:f>
      </x:c>
      <x:c r="T56" s="37" t="str">
        <x:f>IF(AND(T$36&gt;=$F28,T$36&lt;=$G28),"●","")</x:f>
      </x:c>
      <x:c r="U56" s="37" t="str">
        <x:f>IF(AND(U$36&gt;=$F28,U$36&lt;=$G28),"●","")</x:f>
      </x:c>
      <x:c r="V56" s="37" t="str">
        <x:f>IF(AND(V$36&gt;=$F28,V$36&lt;=$G28),"●","")</x:f>
      </x:c>
      <x:c r="W56" s="37" t="str">
        <x:f>IF(AND(W$36&gt;=$F28,W$36&lt;=$G28),"●","")</x:f>
      </x:c>
      <x:c r="X56" s="37" t="str">
        <x:f>IF(AND(X$36&gt;=$F28,X$36&lt;=$G28),"●","")</x:f>
      </x:c>
      <x:c r="Y56" s="37" t="str">
        <x:f>IF(AND(Y$36&gt;=$F28,Y$36&lt;=$G28),"●","")</x:f>
      </x:c>
      <x:c r="Z56" s="37" t="str">
        <x:f>IF(AND(Z$36&gt;=$F28,Z$36&lt;=$G28),"●","")</x:f>
      </x:c>
      <x:c r="AA56" s="37" t="str">
        <x:f>IF(AND(AA$36&gt;=$F28,AA$36&lt;=$G28),"●","")</x:f>
      </x:c>
      <x:c r="AB56" s="37" t="str">
        <x:f>IF(AND(AB$36&gt;=$F28,AB$36&lt;=$G28),"●","")</x:f>
        <x:v>●</x:v>
      </x:c>
      <x:c r="AC56" s="37" t="str">
        <x:f>IF(AND(AC$36&gt;=$F28,AC$36&lt;=$G28),"●","")</x:f>
      </x:c>
      <x:c r="AD56" s="37" t="str">
        <x:f>IF(AND(AD$36&gt;=$F28,AD$36&lt;=$G28),"●","")</x:f>
      </x:c>
      <x:c r="AE56" s="37" t="str">
        <x:f>IF(AND(AE$36&gt;=$F28,AE$36&lt;=$G28),"●","")</x:f>
      </x:c>
      <x:c r="AF56" s="37" t="str">
        <x:f>IF(AND(AF$36&gt;=$F28,AF$36&lt;=$G28),"●","")</x:f>
      </x:c>
      <x:c r="AG56" s="37" t="str">
        <x:f>IF(AND(AG$36&gt;=$F28,AG$36&lt;=$G28),"●","")</x:f>
      </x:c>
      <x:c r="AH56" s="37" t="str">
        <x:f>IF(AND(AH$36&gt;=$F28,AH$36&lt;=$G28),"●","")</x:f>
      </x:c>
      <x:c r="AI56" s="37" t="str">
        <x:f>IF(AND(AI$36&gt;=$F28,AI$36&lt;=$G28),"●","")</x:f>
      </x:c>
    </x:row>
    <x:row r="57" ht="34" customHeight="1">
      <x:c r="A57" s="3" t="str">
        <x:f>A29</x:f>
        <x:v>PITCH</x:v>
      </x:c>
      <x:c r="B57" s="3" t="str">
        <x:f>B29</x:f>
        <x:v>Rehearse final pitch and live demonstration</x:v>
      </x:c>
      <x:c r="C57" s="36" t="str">
        <x:f>IF(AND(C$36&gt;=$F29,C$36&lt;=$G29),1,"")</x:f>
      </x:c>
      <x:c r="D57" s="36" t="str">
        <x:f>IF(AND(D$36&gt;=$F29,D$36&lt;=$G29),1,"")</x:f>
      </x:c>
      <x:c r="E57" s="36" t="str">
        <x:f>IF(AND(E$36&gt;=$F29,E$36&lt;=$G29),1,"")</x:f>
      </x:c>
      <x:c r="F57" s="36" t="str">
        <x:f>IF(AND(F$36&gt;=$F29,F$36&lt;=$G29),1,"")</x:f>
      </x:c>
      <x:c r="G57" s="36" t="str">
        <x:f>IF(AND(G$36&gt;=$F29,G$36&lt;=$G29),1,"")</x:f>
      </x:c>
      <x:c r="H57" s="36" t="str">
        <x:f>IF(AND(H$36&gt;=$F29,H$36&lt;=$G29),1,"")</x:f>
      </x:c>
      <x:c r="I57" s="36" t="str">
        <x:f>IF(AND(I$36&gt;=$F29,I$36&lt;=$G29),1,"")</x:f>
      </x:c>
      <x:c r="J57" s="36" t="str">
        <x:f>IF(AND(J$36&gt;=$F29,J$36&lt;=$G29),1,"")</x:f>
      </x:c>
      <x:c r="K57" s="36" t="str">
        <x:f>IF(AND(K$36&gt;=$F29,K$36&lt;=$G29),1,"")</x:f>
      </x:c>
      <x:c r="L57" s="36" t="str">
        <x:f>IF(AND(L$36&gt;=$F29,L$36&lt;=$G29),1,"")</x:f>
      </x:c>
      <x:c r="M57" s="36" t="str">
        <x:f>IF(AND(M$36&gt;=$F29,M$36&lt;=$G29),1,"")</x:f>
      </x:c>
      <x:c r="N57" s="36" t="str">
        <x:f>IF(AND(N$36&gt;=$F29,N$36&lt;=$G29),1,"")</x:f>
      </x:c>
      <x:c r="O57" s="36" t="str">
        <x:f>IF(AND(O$36&gt;=$F29,O$36&lt;=$G29),1,"")</x:f>
      </x:c>
      <x:c r="P57" s="36" t="str">
        <x:f>IF(AND(P$36&gt;=$F29,P$36&lt;=$G29),1,"")</x:f>
      </x:c>
      <x:c r="Q57" s="36" t="str">
        <x:f>IF(AND(Q$36&gt;=$F29,Q$36&lt;=$G29),1,"")</x:f>
      </x:c>
      <x:c r="R57" s="36" t="str">
        <x:f>IF(AND(R$36&gt;=$F29,R$36&lt;=$G29),1,"")</x:f>
      </x:c>
      <x:c r="S57" s="36" t="str">
        <x:f>IF(AND(S$36&gt;=$F29,S$36&lt;=$G29),1,"")</x:f>
      </x:c>
      <x:c r="T57" s="36" t="str">
        <x:f>IF(AND(T$36&gt;=$F29,T$36&lt;=$G29),1,"")</x:f>
      </x:c>
      <x:c r="U57" s="36" t="str">
        <x:f>IF(AND(U$36&gt;=$F29,U$36&lt;=$G29),1,"")</x:f>
      </x:c>
      <x:c r="V57" s="36" t="str">
        <x:f>IF(AND(V$36&gt;=$F29,V$36&lt;=$G29),1,"")</x:f>
      </x:c>
      <x:c r="W57" s="36" t="str">
        <x:f>IF(AND(W$36&gt;=$F29,W$36&lt;=$G29),1,"")</x:f>
      </x:c>
      <x:c r="X57" s="36" t="str">
        <x:f>IF(AND(X$36&gt;=$F29,X$36&lt;=$G29),1,"")</x:f>
      </x:c>
      <x:c r="Y57" s="36" t="str">
        <x:f>IF(AND(Y$36&gt;=$F29,Y$36&lt;=$G29),1,"")</x:f>
      </x:c>
      <x:c r="Z57" s="36" t="str">
        <x:f>IF(AND(Z$36&gt;=$F29,Z$36&lt;=$G29),1,"")</x:f>
      </x:c>
      <x:c r="AA57" s="36" t="str">
        <x:f>IF(AND(AA$36&gt;=$F29,AA$36&lt;=$G29),1,"")</x:f>
      </x:c>
      <x:c r="AB57" s="36" t="str">
        <x:f>IF(AND(AB$36&gt;=$F29,AB$36&lt;=$G29),1,"")</x:f>
      </x:c>
      <x:c r="AC57" s="36" t="str">
        <x:f>IF(AND(AC$36&gt;=$F29,AC$36&lt;=$G29),1,"")</x:f>
      </x:c>
      <x:c r="AD57" s="36" t="str">
        <x:f>IF(AND(AD$36&gt;=$F29,AD$36&lt;=$G29),1,"")</x:f>
      </x:c>
      <x:c r="AE57" s="36" t="n">
        <x:f>IF(AND(AE$36&gt;=$F29,AE$36&lt;=$G29),1,"")</x:f>
        <x:v>1</x:v>
      </x:c>
      <x:c r="AF57" s="36" t="n">
        <x:f>IF(AND(AF$36&gt;=$F29,AF$36&lt;=$G29),1,"")</x:f>
        <x:v>1</x:v>
      </x:c>
      <x:c r="AG57" s="36" t="n">
        <x:f>IF(AND(AG$36&gt;=$F29,AG$36&lt;=$G29),1,"")</x:f>
        <x:v>1</x:v>
      </x:c>
      <x:c r="AH57" s="36" t="n">
        <x:f>IF(AND(AH$36&gt;=$F29,AH$36&lt;=$G29),1,"")</x:f>
        <x:v>1</x:v>
      </x:c>
      <x:c r="AI57" s="36" t="str">
        <x:f>IF(AND(AI$36&gt;=$F29,AI$36&lt;=$G29),1,"")</x:f>
      </x:c>
    </x:row>
    <x:row r="58" ht="34" customHeight="1">
      <x:c r="A58" s="3" t="str">
        <x:f>A30</x:f>
        <x:v>REVIEW</x:v>
      </x:c>
      <x:c r="B58" s="3" t="str">
        <x:f>B30</x:f>
        <x:v>Final demonstration and packaging review</x:v>
      </x:c>
      <x:c r="C58" s="36" t="str">
        <x:f>IF(AND(C$36&gt;=$F30,C$36&lt;=$G30),1,"")</x:f>
      </x:c>
      <x:c r="D58" s="36" t="str">
        <x:f>IF(AND(D$36&gt;=$F30,D$36&lt;=$G30),1,"")</x:f>
      </x:c>
      <x:c r="E58" s="36" t="str">
        <x:f>IF(AND(E$36&gt;=$F30,E$36&lt;=$G30),1,"")</x:f>
      </x:c>
      <x:c r="F58" s="36" t="str">
        <x:f>IF(AND(F$36&gt;=$F30,F$36&lt;=$G30),1,"")</x:f>
      </x:c>
      <x:c r="G58" s="36" t="str">
        <x:f>IF(AND(G$36&gt;=$F30,G$36&lt;=$G30),1,"")</x:f>
      </x:c>
      <x:c r="H58" s="36" t="str">
        <x:f>IF(AND(H$36&gt;=$F30,H$36&lt;=$G30),1,"")</x:f>
      </x:c>
      <x:c r="I58" s="36" t="str">
        <x:f>IF(AND(I$36&gt;=$F30,I$36&lt;=$G30),1,"")</x:f>
      </x:c>
      <x:c r="J58" s="36" t="str">
        <x:f>IF(AND(J$36&gt;=$F30,J$36&lt;=$G30),1,"")</x:f>
      </x:c>
      <x:c r="K58" s="36" t="str">
        <x:f>IF(AND(K$36&gt;=$F30,K$36&lt;=$G30),1,"")</x:f>
      </x:c>
      <x:c r="L58" s="36" t="str">
        <x:f>IF(AND(L$36&gt;=$F30,L$36&lt;=$G30),1,"")</x:f>
      </x:c>
      <x:c r="M58" s="36" t="str">
        <x:f>IF(AND(M$36&gt;=$F30,M$36&lt;=$G30),1,"")</x:f>
      </x:c>
      <x:c r="N58" s="36" t="str">
        <x:f>IF(AND(N$36&gt;=$F30,N$36&lt;=$G30),1,"")</x:f>
      </x:c>
      <x:c r="O58" s="36" t="str">
        <x:f>IF(AND(O$36&gt;=$F30,O$36&lt;=$G30),1,"")</x:f>
      </x:c>
      <x:c r="P58" s="36" t="str">
        <x:f>IF(AND(P$36&gt;=$F30,P$36&lt;=$G30),1,"")</x:f>
      </x:c>
      <x:c r="Q58" s="36" t="str">
        <x:f>IF(AND(Q$36&gt;=$F30,Q$36&lt;=$G30),1,"")</x:f>
      </x:c>
      <x:c r="R58" s="36" t="str">
        <x:f>IF(AND(R$36&gt;=$F30,R$36&lt;=$G30),1,"")</x:f>
      </x:c>
      <x:c r="S58" s="36" t="str">
        <x:f>IF(AND(S$36&gt;=$F30,S$36&lt;=$G30),1,"")</x:f>
      </x:c>
      <x:c r="T58" s="36" t="str">
        <x:f>IF(AND(T$36&gt;=$F30,T$36&lt;=$G30),1,"")</x:f>
      </x:c>
      <x:c r="U58" s="36" t="str">
        <x:f>IF(AND(U$36&gt;=$F30,U$36&lt;=$G30),1,"")</x:f>
      </x:c>
      <x:c r="V58" s="36" t="str">
        <x:f>IF(AND(V$36&gt;=$F30,V$36&lt;=$G30),1,"")</x:f>
      </x:c>
      <x:c r="W58" s="36" t="str">
        <x:f>IF(AND(W$36&gt;=$F30,W$36&lt;=$G30),1,"")</x:f>
      </x:c>
      <x:c r="X58" s="36" t="str">
        <x:f>IF(AND(X$36&gt;=$F30,X$36&lt;=$G30),1,"")</x:f>
      </x:c>
      <x:c r="Y58" s="36" t="str">
        <x:f>IF(AND(Y$36&gt;=$F30,Y$36&lt;=$G30),1,"")</x:f>
      </x:c>
      <x:c r="Z58" s="36" t="str">
        <x:f>IF(AND(Z$36&gt;=$F30,Z$36&lt;=$G30),1,"")</x:f>
      </x:c>
      <x:c r="AA58" s="36" t="str">
        <x:f>IF(AND(AA$36&gt;=$F30,AA$36&lt;=$G30),1,"")</x:f>
      </x:c>
      <x:c r="AB58" s="36" t="str">
        <x:f>IF(AND(AB$36&gt;=$F30,AB$36&lt;=$G30),1,"")</x:f>
      </x:c>
      <x:c r="AC58" s="36" t="str">
        <x:f>IF(AND(AC$36&gt;=$F30,AC$36&lt;=$G30),1,"")</x:f>
      </x:c>
      <x:c r="AD58" s="36" t="str">
        <x:f>IF(AND(AD$36&gt;=$F30,AD$36&lt;=$G30),1,"")</x:f>
      </x:c>
      <x:c r="AE58" s="36" t="n">
        <x:f>IF(AND(AE$36&gt;=$F30,AE$36&lt;=$G30),1,"")</x:f>
        <x:v>1</x:v>
      </x:c>
      <x:c r="AF58" s="36" t="n">
        <x:f>IF(AND(AF$36&gt;=$F30,AF$36&lt;=$G30),1,"")</x:f>
        <x:v>1</x:v>
      </x:c>
      <x:c r="AG58" s="36" t="n">
        <x:f>IF(AND(AG$36&gt;=$F30,AG$36&lt;=$G30),1,"")</x:f>
        <x:v>1</x:v>
      </x:c>
      <x:c r="AH58" s="36" t="n">
        <x:f>IF(AND(AH$36&gt;=$F30,AH$36&lt;=$G30),1,"")</x:f>
        <x:v>1</x:v>
      </x:c>
      <x:c r="AI58" s="36" t="str">
        <x:f>IF(AND(AI$36&gt;=$F30,AI$36&lt;=$G30),1,"")</x:f>
      </x:c>
    </x:row>
    <x:row r="59" ht="34" customHeight="1">
      <x:c r="A59" s="3" t="str">
        <x:f>A31</x:f>
        <x:v>MILESTONE</x:v>
      </x:c>
      <x:c r="B59" s="3" t="str">
        <x:f>B31</x:f>
        <x:v>Physical final-stage pitch</x:v>
      </x:c>
      <x:c r="C59" s="37" t="str">
        <x:f>IF(AND(C$36&gt;=$F31,C$36&lt;=$G31),"●","")</x:f>
      </x:c>
      <x:c r="D59" s="37" t="str">
        <x:f>IF(AND(D$36&gt;=$F31,D$36&lt;=$G31),"●","")</x:f>
      </x:c>
      <x:c r="E59" s="37" t="str">
        <x:f>IF(AND(E$36&gt;=$F31,E$36&lt;=$G31),"●","")</x:f>
      </x:c>
      <x:c r="F59" s="37" t="str">
        <x:f>IF(AND(F$36&gt;=$F31,F$36&lt;=$G31),"●","")</x:f>
      </x:c>
      <x:c r="G59" s="37" t="str">
        <x:f>IF(AND(G$36&gt;=$F31,G$36&lt;=$G31),"●","")</x:f>
      </x:c>
      <x:c r="H59" s="37" t="str">
        <x:f>IF(AND(H$36&gt;=$F31,H$36&lt;=$G31),"●","")</x:f>
      </x:c>
      <x:c r="I59" s="37" t="str">
        <x:f>IF(AND(I$36&gt;=$F31,I$36&lt;=$G31),"●","")</x:f>
      </x:c>
      <x:c r="J59" s="37" t="str">
        <x:f>IF(AND(J$36&gt;=$F31,J$36&lt;=$G31),"●","")</x:f>
      </x:c>
      <x:c r="K59" s="37" t="str">
        <x:f>IF(AND(K$36&gt;=$F31,K$36&lt;=$G31),"●","")</x:f>
      </x:c>
      <x:c r="L59" s="37" t="str">
        <x:f>IF(AND(L$36&gt;=$F31,L$36&lt;=$G31),"●","")</x:f>
      </x:c>
      <x:c r="M59" s="37" t="str">
        <x:f>IF(AND(M$36&gt;=$F31,M$36&lt;=$G31),"●","")</x:f>
      </x:c>
      <x:c r="N59" s="37" t="str">
        <x:f>IF(AND(N$36&gt;=$F31,N$36&lt;=$G31),"●","")</x:f>
      </x:c>
      <x:c r="O59" s="37" t="str">
        <x:f>IF(AND(O$36&gt;=$F31,O$36&lt;=$G31),"●","")</x:f>
      </x:c>
      <x:c r="P59" s="37" t="str">
        <x:f>IF(AND(P$36&gt;=$F31,P$36&lt;=$G31),"●","")</x:f>
      </x:c>
      <x:c r="Q59" s="37" t="str">
        <x:f>IF(AND(Q$36&gt;=$F31,Q$36&lt;=$G31),"●","")</x:f>
      </x:c>
      <x:c r="R59" s="37" t="str">
        <x:f>IF(AND(R$36&gt;=$F31,R$36&lt;=$G31),"●","")</x:f>
      </x:c>
      <x:c r="S59" s="37" t="str">
        <x:f>IF(AND(S$36&gt;=$F31,S$36&lt;=$G31),"●","")</x:f>
      </x:c>
      <x:c r="T59" s="37" t="str">
        <x:f>IF(AND(T$36&gt;=$F31,T$36&lt;=$G31),"●","")</x:f>
      </x:c>
      <x:c r="U59" s="37" t="str">
        <x:f>IF(AND(U$36&gt;=$F31,U$36&lt;=$G31),"●","")</x:f>
      </x:c>
      <x:c r="V59" s="37" t="str">
        <x:f>IF(AND(V$36&gt;=$F31,V$36&lt;=$G31),"●","")</x:f>
      </x:c>
      <x:c r="W59" s="37" t="str">
        <x:f>IF(AND(W$36&gt;=$F31,W$36&lt;=$G31),"●","")</x:f>
      </x:c>
      <x:c r="X59" s="37" t="str">
        <x:f>IF(AND(X$36&gt;=$F31,X$36&lt;=$G31),"●","")</x:f>
      </x:c>
      <x:c r="Y59" s="37" t="str">
        <x:f>IF(AND(Y$36&gt;=$F31,Y$36&lt;=$G31),"●","")</x:f>
      </x:c>
      <x:c r="Z59" s="37" t="str">
        <x:f>IF(AND(Z$36&gt;=$F31,Z$36&lt;=$G31),"●","")</x:f>
      </x:c>
      <x:c r="AA59" s="37" t="str">
        <x:f>IF(AND(AA$36&gt;=$F31,AA$36&lt;=$G31),"●","")</x:f>
      </x:c>
      <x:c r="AB59" s="37" t="str">
        <x:f>IF(AND(AB$36&gt;=$F31,AB$36&lt;=$G31),"●","")</x:f>
      </x:c>
      <x:c r="AC59" s="37" t="str">
        <x:f>IF(AND(AC$36&gt;=$F31,AC$36&lt;=$G31),"●","")</x:f>
      </x:c>
      <x:c r="AD59" s="37" t="str">
        <x:f>IF(AND(AD$36&gt;=$F31,AD$36&lt;=$G31),"●","")</x:f>
      </x:c>
      <x:c r="AE59" s="37" t="str">
        <x:f>IF(AND(AE$36&gt;=$F31,AE$36&lt;=$G31),"●","")</x:f>
      </x:c>
      <x:c r="AF59" s="37" t="str">
        <x:f>IF(AND(AF$36&gt;=$F31,AF$36&lt;=$G31),"●","")</x:f>
      </x:c>
      <x:c r="AG59" s="37" t="str">
        <x:f>IF(AND(AG$36&gt;=$F31,AG$36&lt;=$G31),"●","")</x:f>
      </x:c>
      <x:c r="AH59" s="37" t="str">
        <x:f>IF(AND(AH$36&gt;=$F31,AH$36&lt;=$G31),"●","")</x:f>
      </x:c>
      <x:c r="AI59" s="37" t="str">
        <x:f>IF(AND(AI$36&gt;=$F31,AI$36&lt;=$G31),"●","")</x:f>
        <x:v>●</x:v>
      </x:c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</x:row>
    <x:row r="61">
      <x:c r="A61" s="3" t="str">
        <x:v>COLOR GUIDE</x:v>
      </x:c>
      <x:c r="B61" s="3" t="str">
        <x:v>COLOR GUIDE</x:v>
      </x:c>
      <x:c r="C61" s="15" t="str">
        <x:v>PLAN</x:v>
      </x:c>
      <x:c r="D61" s="14" t="str">
        <x:v>PLAN</x:v>
      </x:c>
      <x:c r="E61" s="14" t="str">
        <x:v>PLAN</x:v>
      </x:c>
      <x:c r="F61" s="17" t="str">
        <x:v>DISCOVERY</x:v>
      </x:c>
      <x:c r="G61" s="16" t="str">
        <x:v>DISCOVERY</x:v>
      </x:c>
      <x:c r="H61" s="16" t="str">
        <x:v>DISCOVERY</x:v>
      </x:c>
      <x:c r="I61" s="19" t="str">
        <x:v>BRAND</x:v>
      </x:c>
      <x:c r="J61" s="18" t="str">
        <x:v>BRAND</x:v>
      </x:c>
      <x:c r="K61" s="18" t="str">
        <x:v>BRAND</x:v>
      </x:c>
      <x:c r="L61" s="21" t="str">
        <x:v>R&amp;D</x:v>
      </x:c>
      <x:c r="M61" s="20" t="str">
        <x:v>R&amp;D</x:v>
      </x:c>
      <x:c r="N61" s="20" t="str">
        <x:v>R&amp;D</x:v>
      </x:c>
      <x:c r="O61" s="23" t="str">
        <x:v>MVP</x:v>
      </x:c>
      <x:c r="P61" s="22" t="str">
        <x:v>MVP</x:v>
      </x:c>
      <x:c r="Q61" s="22" t="str">
        <x:v>MVP</x:v>
      </x:c>
      <x:c r="R61" s="25" t="str">
        <x:v>PILOT</x:v>
      </x:c>
      <x:c r="S61" s="24" t="str">
        <x:v>PILOT</x:v>
      </x:c>
      <x:c r="T61" s="24" t="str">
        <x:v>PILOT</x:v>
      </x:c>
      <x:c r="U61" s="27" t="str">
        <x:v>PITCH</x:v>
      </x:c>
      <x:c r="V61" s="26" t="str">
        <x:v>PITCH</x:v>
      </x:c>
      <x:c r="W61" s="26" t="str">
        <x:v>PITCH</x:v>
      </x:c>
      <x:c r="X61" s="31" t="str">
        <x:v>REVIEW</x:v>
      </x:c>
      <x:c r="Y61" s="30" t="str">
        <x:v>REVIEW</x:v>
      </x:c>
      <x:c r="Z61" s="30" t="str">
        <x:v>REVIEW</x:v>
      </x:c>
      <x:c r="AA61" s="29" t="str">
        <x:v>MILESTONE</x:v>
      </x:c>
      <x:c r="AB61" s="28" t="str">
        <x:v>MILESTONE</x:v>
      </x:c>
      <x:c r="AC61" s="28" t="str">
        <x:v>MILESTONE</x:v>
      </x:c>
      <x:c r="AD61" s="2"/>
      <x:c r="AE61" s="2"/>
      <x:c r="AF61" s="2"/>
      <x:c r="AG61" s="2"/>
      <x:c r="AH61" s="2"/>
      <x:c r="A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</x:row>
    <x:row r="63">
      <x:c r="A63" s="3" t="str">
        <x:v>Source: ECOBIZ_BUSINESS_MODEL_CANVAS.md (27 Sep 2026). Edit Start/End dates above to update the timeline. Future operations remain unscheduled.</x:v>
      </x:c>
      <x:c r="B63" s="3" t="str">
        <x:v>Source: ECOBIZ_BUSINESS_MODEL_CANVAS.md (27 Sep 2026). Edit Start/End dates above to update the timeline. Future operations remain unscheduled.</x:v>
      </x:c>
      <x:c r="C63" s="3" t="str">
        <x:v>Source: ECOBIZ_BUSINESS_MODEL_CANVAS.md (27 Sep 2026). Edit Start/End dates above to update the timeline. Future operations remain unscheduled.</x:v>
      </x:c>
      <x:c r="D63" s="3" t="str">
        <x:v>Source: ECOBIZ_BUSINESS_MODEL_CANVAS.md (27 Sep 2026). Edit Start/End dates above to update the timeline. Future operations remain unscheduled.</x:v>
      </x:c>
      <x:c r="E63" s="3" t="str">
        <x:v>Source: ECOBIZ_BUSINESS_MODEL_CANVAS.md (27 Sep 2026). Edit Start/End dates above to update the timeline. Future operations remain unscheduled.</x:v>
      </x:c>
      <x:c r="F63" s="3" t="str">
        <x:v>Source: ECOBIZ_BUSINESS_MODEL_CANVAS.md (27 Sep 2026). Edit Start/End dates above to update the timeline. Future operations remain unscheduled.</x:v>
      </x:c>
      <x:c r="G63" s="3" t="str">
        <x:v>Source: ECOBIZ_BUSINESS_MODEL_CANVAS.md (27 Sep 2026). Edit Start/End dates above to update the timeline. Future operations remain unscheduled.</x:v>
      </x:c>
      <x:c r="H63" s="3" t="str">
        <x:v>Source: ECOBIZ_BUSINESS_MODEL_CANVAS.md (27 Sep 2026). Edit Start/End dates above to update the timeline. Future operations remain unscheduled.</x:v>
      </x:c>
      <x:c r="I63" s="3" t="str">
        <x:v>Source: ECOBIZ_BUSINESS_MODEL_CANVAS.md (27 Sep 2026). Edit Start/End dates above to update the timeline. Future operations remain unscheduled.</x:v>
      </x:c>
      <x:c r="J63" s="3" t="str">
        <x:v>Source: ECOBIZ_BUSINESS_MODEL_CANVAS.md (27 Sep 2026). Edit Start/End dates above to update the timeline. Future operations remain unscheduled.</x:v>
      </x:c>
      <x:c r="K63" s="3" t="str">
        <x:v>Source: ECOBIZ_BUSINESS_MODEL_CANVAS.md (27 Sep 2026). Edit Start/End dates above to update the timeline. Future operations remain unscheduled.</x:v>
      </x:c>
      <x:c r="L63" s="3" t="str">
        <x:v>Source: ECOBIZ_BUSINESS_MODEL_CANVAS.md (27 Sep 2026). Edit Start/End dates above to update the timeline. Future operations remain unscheduled.</x:v>
      </x:c>
      <x:c r="M63" s="3" t="str">
        <x:v>Source: ECOBIZ_BUSINESS_MODEL_CANVAS.md (27 Sep 2026). Edit Start/End dates above to update the timeline. Future operations remain unscheduled.</x:v>
      </x:c>
      <x:c r="N63" s="3" t="str">
        <x:v>Source: ECOBIZ_BUSINESS_MODEL_CANVAS.md (27 Sep 2026). Edit Start/End dates above to update the timeline. Future operations remain unscheduled.</x:v>
      </x:c>
      <x:c r="O63" s="3" t="str">
        <x:v>Source: ECOBIZ_BUSINESS_MODEL_CANVAS.md (27 Sep 2026). Edit Start/End dates above to update the timeline. Future operations remain unscheduled.</x:v>
      </x:c>
      <x:c r="P63" s="3" t="str">
        <x:v>Source: ECOBIZ_BUSINESS_MODEL_CANVAS.md (27 Sep 2026). Edit Start/End dates above to update the timeline. Future operations remain unscheduled.</x:v>
      </x:c>
      <x:c r="Q63" s="3" t="str">
        <x:v>Source: ECOBIZ_BUSINESS_MODEL_CANVAS.md (27 Sep 2026). Edit Start/End dates above to update the timeline. Future operations remain unscheduled.</x:v>
      </x:c>
      <x:c r="R63" s="3" t="str">
        <x:v>Source: ECOBIZ_BUSINESS_MODEL_CANVAS.md (27 Sep 2026). Edit Start/End dates above to update the timeline. Future operations remain unscheduled.</x:v>
      </x:c>
      <x:c r="S63" s="3" t="str">
        <x:v>Source: ECOBIZ_BUSINESS_MODEL_CANVAS.md (27 Sep 2026). Edit Start/End dates above to update the timeline. Future operations remain unscheduled.</x:v>
      </x:c>
      <x:c r="T63" s="3" t="str">
        <x:v>Source: ECOBIZ_BUSINESS_MODEL_CANVAS.md (27 Sep 2026). Edit Start/End dates above to update the timeline. Future operations remain unscheduled.</x:v>
      </x:c>
      <x:c r="U63" s="3" t="str">
        <x:v>Source: ECOBIZ_BUSINESS_MODEL_CANVAS.md (27 Sep 2026). Edit Start/End dates above to update the timeline. Future operations remain unscheduled.</x:v>
      </x:c>
      <x:c r="V63" s="3" t="str">
        <x:v>Source: ECOBIZ_BUSINESS_MODEL_CANVAS.md (27 Sep 2026). Edit Start/End dates above to update the timeline. Future operations remain unscheduled.</x:v>
      </x:c>
      <x:c r="W63" s="3" t="str">
        <x:v>Source: ECOBIZ_BUSINESS_MODEL_CANVAS.md (27 Sep 2026). Edit Start/End dates above to update the timeline. Future operations remain unscheduled.</x:v>
      </x:c>
      <x:c r="X63" s="3" t="str">
        <x:v>Source: ECOBIZ_BUSINESS_MODEL_CANVAS.md (27 Sep 2026). Edit Start/End dates above to update the timeline. Future operations remain unscheduled.</x:v>
      </x:c>
      <x:c r="Y63" s="3" t="str">
        <x:v>Source: ECOBIZ_BUSINESS_MODEL_CANVAS.md (27 Sep 2026). Edit Start/End dates above to update the timeline. Future operations remain unscheduled.</x:v>
      </x:c>
      <x:c r="Z63" s="3" t="str">
        <x:v>Source: ECOBIZ_BUSINESS_MODEL_CANVAS.md (27 Sep 2026). Edit Start/End dates above to update the timeline. Future operations remain unscheduled.</x:v>
      </x:c>
      <x:c r="AA63" s="3" t="str">
        <x:v>Source: ECOBIZ_BUSINESS_MODEL_CANVAS.md (27 Sep 2026). Edit Start/End dates above to update the timeline. Future operations remain unscheduled.</x:v>
      </x:c>
      <x:c r="AB63" s="3" t="str">
        <x:v>Source: ECOBIZ_BUSINESS_MODEL_CANVAS.md (27 Sep 2026). Edit Start/End dates above to update the timeline. Future operations remain unscheduled.</x:v>
      </x:c>
      <x:c r="AC63" s="3" t="str">
        <x:v>Source: ECOBIZ_BUSINESS_MODEL_CANVAS.md (27 Sep 2026). Edit Start/End dates above to update the timeline. Future operations remain unscheduled.</x:v>
      </x:c>
      <x:c r="AD63" s="3" t="str">
        <x:v>Source: ECOBIZ_BUSINESS_MODEL_CANVAS.md (27 Sep 2026). Edit Start/End dates above to update the timeline. Future operations remain unscheduled.</x:v>
      </x:c>
      <x:c r="AE63" s="3" t="str">
        <x:v>Source: ECOBIZ_BUSINESS_MODEL_CANVAS.md (27 Sep 2026). Edit Start/End dates above to update the timeline. Future operations remain unscheduled.</x:v>
      </x:c>
      <x:c r="AF63" s="3" t="str">
        <x:v>Source: ECOBIZ_BUSINESS_MODEL_CANVAS.md (27 Sep 2026). Edit Start/End dates above to update the timeline. Future operations remain unscheduled.</x:v>
      </x:c>
      <x:c r="AG63" s="3" t="str">
        <x:v>Source: ECOBIZ_BUSINESS_MODEL_CANVAS.md (27 Sep 2026). Edit Start/End dates above to update the timeline. Future operations remain unscheduled.</x:v>
      </x:c>
      <x:c r="AH63" s="3" t="str">
        <x:v>Source: ECOBIZ_BUSINESS_MODEL_CANVAS.md (27 Sep 2026). Edit Start/End dates above to update the timeline. Future operations remain unscheduled.</x:v>
      </x:c>
      <x:c r="AI63" s="3" t="str">
        <x:v>Source: ECOBIZ_BUSINESS_MODEL_CANVAS.md (27 Sep 2026). Edit Start/End dates above to update the timeline. Future operations remain unscheduled.</x:v>
      </x:c>
    </x:row>
  </x:sheetData>
  <x:mergeCells>
    <x:mergeCell ref="A2:AI2"/>
    <x:mergeCell ref="A3:AI3"/>
    <x:mergeCell ref="A4:H5"/>
    <x:mergeCell ref="I4:T5"/>
    <x:mergeCell ref="U4:AI5"/>
    <x:mergeCell ref="A6:AI6"/>
    <x:mergeCell ref="I8:T8"/>
    <x:mergeCell ref="I9:N9"/>
    <x:mergeCell ref="P9:T9"/>
    <x:mergeCell ref="I10:N10"/>
    <x:mergeCell ref="P10:T10"/>
    <x:mergeCell ref="I11:N11"/>
    <x:mergeCell ref="P11:T11"/>
    <x:mergeCell ref="I12:N12"/>
    <x:mergeCell ref="P12:T12"/>
    <x:mergeCell ref="I13:N13"/>
    <x:mergeCell ref="P13:T13"/>
    <x:mergeCell ref="I14:N14"/>
    <x:mergeCell ref="P14:T14"/>
    <x:mergeCell ref="I15:N15"/>
    <x:mergeCell ref="P15:T15"/>
    <x:mergeCell ref="I18:AI19"/>
    <x:mergeCell ref="I21:AI22"/>
    <x:mergeCell ref="I24:AI25"/>
    <x:mergeCell ref="I27:AI28"/>
    <x:mergeCell ref="A34:AI34"/>
    <x:mergeCell ref="A35:B36"/>
    <x:mergeCell ref="C35:I35"/>
    <x:mergeCell ref="J35:P35"/>
    <x:mergeCell ref="Q35:W35"/>
    <x:mergeCell ref="X35:AD35"/>
    <x:mergeCell ref="AE35:AI35"/>
    <x:mergeCell ref="A61:B61"/>
    <x:mergeCell ref="C61:E61"/>
    <x:mergeCell ref="F61:H61"/>
    <x:mergeCell ref="I61:K61"/>
    <x:mergeCell ref="L61:N61"/>
    <x:mergeCell ref="O61:Q61"/>
    <x:mergeCell ref="R61:T61"/>
    <x:mergeCell ref="U61:W61"/>
    <x:mergeCell ref="X61:Z61"/>
    <x:mergeCell ref="AA61:AC61"/>
    <x:mergeCell ref="A63:AI63"/>
  </x:mergeCells>
  <x:conditionalFormatting sqref="C37:AI37">
    <x:cfRule type="expression" dxfId="0" priority="1">
      <x:formula>AND(C$36&gt;=$F9,C$36&lt;=$G9)</x:formula>
    </x:cfRule>
  </x:conditionalFormatting>
  <x:conditionalFormatting sqref="C38:AI38">
    <x:cfRule type="expression" dxfId="1" priority="2">
      <x:formula>AND(C$36&gt;=$F10,C$36&lt;=$G10)</x:formula>
    </x:cfRule>
  </x:conditionalFormatting>
  <x:conditionalFormatting sqref="C39:AI39">
    <x:cfRule type="expression" dxfId="2" priority="3">
      <x:formula>AND(C$36&gt;=$F11,C$36&lt;=$G11)</x:formula>
    </x:cfRule>
  </x:conditionalFormatting>
  <x:conditionalFormatting sqref="C40:AI40">
    <x:cfRule type="expression" dxfId="3" priority="4">
      <x:formula>AND(C$36&gt;=$F12,C$36&lt;=$G12)</x:formula>
    </x:cfRule>
  </x:conditionalFormatting>
  <x:conditionalFormatting sqref="C41:AI41">
    <x:cfRule type="expression" dxfId="4" priority="5">
      <x:formula>AND(C$36&gt;=$F13,C$36&lt;=$G13)</x:formula>
    </x:cfRule>
  </x:conditionalFormatting>
  <x:conditionalFormatting sqref="C42:AI42">
    <x:cfRule type="expression" dxfId="5" priority="6">
      <x:formula>AND(C$36&gt;=$F14,C$36&lt;=$G14)</x:formula>
    </x:cfRule>
  </x:conditionalFormatting>
  <x:conditionalFormatting sqref="C43:AI43">
    <x:cfRule type="expression" dxfId="6" priority="7">
      <x:formula>AND(C$36&gt;=$F15,C$36&lt;=$G15)</x:formula>
    </x:cfRule>
  </x:conditionalFormatting>
  <x:conditionalFormatting sqref="C44:AI44">
    <x:cfRule type="expression" dxfId="7" priority="8">
      <x:formula>AND(C$36&gt;=$F16,C$36&lt;=$G16)</x:formula>
    </x:cfRule>
  </x:conditionalFormatting>
  <x:conditionalFormatting sqref="C45:AI45">
    <x:cfRule type="expression" dxfId="8" priority="9">
      <x:formula>AND(C$36&gt;=$F17,C$36&lt;=$G17)</x:formula>
    </x:cfRule>
  </x:conditionalFormatting>
  <x:conditionalFormatting sqref="C46:AI46">
    <x:cfRule type="expression" dxfId="9" priority="10">
      <x:formula>AND(C$36&gt;=$F18,C$36&lt;=$G18)</x:formula>
    </x:cfRule>
  </x:conditionalFormatting>
  <x:conditionalFormatting sqref="C47:AI47">
    <x:cfRule type="expression" dxfId="10" priority="11">
      <x:formula>AND(C$36&gt;=$F19,C$36&lt;=$G19)</x:formula>
    </x:cfRule>
  </x:conditionalFormatting>
  <x:conditionalFormatting sqref="C48:AI48">
    <x:cfRule type="expression" dxfId="11" priority="12">
      <x:formula>AND(C$36&gt;=$F20,C$36&lt;=$G20)</x:formula>
    </x:cfRule>
  </x:conditionalFormatting>
  <x:conditionalFormatting sqref="C49:AI49">
    <x:cfRule type="expression" dxfId="12" priority="13">
      <x:formula>AND(C$36&gt;=$F21,C$36&lt;=$G21)</x:formula>
    </x:cfRule>
  </x:conditionalFormatting>
  <x:conditionalFormatting sqref="C50:AI50">
    <x:cfRule type="expression" dxfId="13" priority="14">
      <x:formula>AND(C$36&gt;=$F22,C$36&lt;=$G22)</x:formula>
    </x:cfRule>
  </x:conditionalFormatting>
  <x:conditionalFormatting sqref="C51:AI51">
    <x:cfRule type="expression" dxfId="14" priority="15">
      <x:formula>AND(C$36&gt;=$F23,C$36&lt;=$G23)</x:formula>
    </x:cfRule>
  </x:conditionalFormatting>
  <x:conditionalFormatting sqref="C52:AI52">
    <x:cfRule type="expression" dxfId="15" priority="16">
      <x:formula>AND(C$36&gt;=$F24,C$36&lt;=$G24)</x:formula>
    </x:cfRule>
  </x:conditionalFormatting>
  <x:conditionalFormatting sqref="C53:AI53">
    <x:cfRule type="expression" dxfId="16" priority="17">
      <x:formula>AND(C$36&gt;=$F25,C$36&lt;=$G25)</x:formula>
    </x:cfRule>
  </x:conditionalFormatting>
  <x:conditionalFormatting sqref="C54:AI54">
    <x:cfRule type="expression" dxfId="17" priority="18">
      <x:formula>AND(C$36&gt;=$F26,C$36&lt;=$G26)</x:formula>
    </x:cfRule>
  </x:conditionalFormatting>
  <x:conditionalFormatting sqref="C55:AI55">
    <x:cfRule type="expression" dxfId="18" priority="19">
      <x:formula>AND(C$36&gt;=$F27,C$36&lt;=$G27)</x:formula>
    </x:cfRule>
  </x:conditionalFormatting>
  <x:conditionalFormatting sqref="C56:AI56">
    <x:cfRule type="expression" dxfId="19" priority="20">
      <x:formula>AND(C$36&gt;=$F28,C$36&lt;=$G28)</x:formula>
    </x:cfRule>
  </x:conditionalFormatting>
  <x:conditionalFormatting sqref="C57:AI57">
    <x:cfRule type="expression" dxfId="20" priority="21">
      <x:formula>AND(C$36&gt;=$F29,C$36&lt;=$G29)</x:formula>
    </x:cfRule>
  </x:conditionalFormatting>
  <x:conditionalFormatting sqref="C58:AI58">
    <x:cfRule type="expression" dxfId="21" priority="22">
      <x:formula>AND(C$36&gt;=$F30,C$36&lt;=$G30)</x:formula>
    </x:cfRule>
  </x:conditionalFormatting>
  <x:conditionalFormatting sqref="C59:AI59">
    <x:cfRule type="expression" dxfId="22" priority="23">
      <x:formula>AND(C$36&gt;=$F31,C$36&lt;=$G31)</x:formula>
    </x:cfRule>
  </x:conditionalFormatting>
  <x:pageMargins left="0.7" right="0.7" top="0.75" bottom="0.75" header="0.3" footer="0.3"/>
</x:worksheet>
</file>